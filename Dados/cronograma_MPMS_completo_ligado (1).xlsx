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USAR" sheetId="1" state="visible" r:id="rId1"/>
    <sheet xmlns:r="http://schemas.openxmlformats.org/officeDocument/2006/relationships" name="TÉCNICAS DE ESTUDO" sheetId="2" state="visible" r:id="rId2"/>
    <sheet xmlns:r="http://schemas.openxmlformats.org/officeDocument/2006/relationships" name="Diário de estudo" sheetId="3" state="visible" r:id="rId3"/>
    <sheet xmlns:r="http://schemas.openxmlformats.org/officeDocument/2006/relationships" name="EDITAL" sheetId="4" state="visible" r:id="rId4"/>
    <sheet xmlns:r="http://schemas.openxmlformats.org/officeDocument/2006/relationships" name="CONTROLE DE QUESTÕES" sheetId="5" state="visible" r:id="rId5"/>
    <sheet xmlns:r="http://schemas.openxmlformats.org/officeDocument/2006/relationships" name="HORÁRIO" sheetId="6" state="visible" r:id="rId6"/>
    <sheet xmlns:r="http://schemas.openxmlformats.org/officeDocument/2006/relationships" name="DICA DE HORAS DE ESTUDO" sheetId="7" state="visible" r:id="rId7"/>
    <sheet xmlns:r="http://schemas.openxmlformats.org/officeDocument/2006/relationships" name="Caderno de erros" sheetId="8" state="visible" r:id="rId8"/>
    <sheet xmlns:r="http://schemas.openxmlformats.org/officeDocument/2006/relationships" name="Legenda" sheetId="9" state="visible" r:id="rId9"/>
  </sheets>
  <definedNames>
    <definedName name="_xlnm._FilterDatabase" localSheetId="2" hidden="1">'Diário de estudo'!$A$2:$J$530</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20">
    <font>
      <name val="Calibri"/>
      <family val="2"/>
      <color theme="1"/>
      <sz val="11"/>
      <scheme val="minor"/>
    </font>
    <font>
      <b val="1"/>
      <color rgb="001F4E78"/>
      <sz val="14"/>
    </font>
    <font>
      <b val="1"/>
      <color rgb="00FFFFFF"/>
    </font>
    <font>
      <b val="1"/>
    </font>
    <font>
      <i val="1"/>
      <color rgb="00808080"/>
    </font>
    <font>
      <b val="1"/>
      <color rgb="00006100"/>
    </font>
    <font>
      <b val="1"/>
      <color rgb="009C0006"/>
    </font>
    <font>
      <b val="1"/>
      <color rgb="009C6500"/>
    </font>
    <font>
      <b val="1"/>
      <color rgb="00C65911"/>
    </font>
    <font>
      <b val="1"/>
      <color rgb="00375623"/>
    </font>
    <font>
      <b val="1"/>
      <color rgb="0020124D"/>
    </font>
    <font>
      <b val="1"/>
      <color rgb="001F4E78"/>
      <sz val="11"/>
    </font>
    <font>
      <b val="1"/>
      <color rgb="001F4E78"/>
    </font>
    <font>
      <b val="1"/>
      <color rgb="00FFFFFF"/>
      <sz val="8"/>
    </font>
    <font>
      <i val="1"/>
      <color rgb="00808080"/>
      <sz val="9"/>
    </font>
    <font>
      <b val="1"/>
      <color rgb="001F4E78"/>
      <sz val="16"/>
    </font>
    <font>
      <i val="1"/>
      <color rgb="00808080"/>
      <sz val="11"/>
    </font>
    <font>
      <b val="1"/>
      <color rgb="001F4E78"/>
      <sz val="12"/>
    </font>
    <font>
      <sz val="11"/>
    </font>
    <font>
      <i val="1"/>
      <color rgb="00808080"/>
      <sz val="10"/>
    </font>
  </fonts>
  <fills count="1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FCE4D6"/>
        <bgColor rgb="00FCE4D6"/>
      </patternFill>
    </fill>
    <fill>
      <patternFill patternType="solid">
        <fgColor rgb="00D9E1F2"/>
        <bgColor rgb="00D9E1F2"/>
      </patternFill>
    </fill>
    <fill>
      <patternFill patternType="solid">
        <fgColor rgb="00C6E0B4"/>
        <bgColor rgb="00C6E0B4"/>
      </patternFill>
    </fill>
    <fill>
      <patternFill patternType="solid">
        <fgColor rgb="00F8CBAD"/>
        <bgColor rgb="00F8CBAD"/>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2E9"/>
        <bgColor rgb="00D9D2E9"/>
      </patternFill>
    </fill>
    <fill>
      <patternFill patternType="solid">
        <fgColor rgb="00FBE5D6"/>
        <bgColor rgb="00FBE5D6"/>
      </patternFill>
    </fill>
    <fill>
      <patternFill patternType="solid">
        <fgColor rgb="00D6DCE4"/>
        <bgColor rgb="00D6DCE4"/>
      </patternFill>
    </fill>
    <fill>
      <patternFill patternType="solid">
        <fgColor rgb="00E4DFEC"/>
        <bgColor rgb="00E4DFEC"/>
      </patternFill>
    </fill>
    <fill>
      <patternFill patternType="solid">
        <fgColor rgb="00F4CCCC"/>
        <bgColor rgb="00F4CCCC"/>
      </patternFill>
    </fill>
  </fills>
  <borders count="10">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76">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164"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wrapText="1"/>
    </xf>
    <xf numFmtId="0" fontId="0" fillId="8" borderId="1" applyAlignment="1" pivotButton="0" quotePrefix="0" xfId="0">
      <alignment horizontal="left" vertical="center" wrapText="1"/>
    </xf>
    <xf numFmtId="0" fontId="0" fillId="8"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9" borderId="1" applyAlignment="1" pivotButton="0" quotePrefix="0" xfId="0">
      <alignment horizontal="center" vertical="center" wrapText="1"/>
    </xf>
    <xf numFmtId="0" fontId="3" fillId="0" borderId="0" pivotButton="0" quotePrefix="0" xfId="0"/>
    <xf numFmtId="0" fontId="0" fillId="4" borderId="1" pivotButton="0" quotePrefix="0" xfId="0"/>
    <xf numFmtId="0" fontId="0" fillId="6" borderId="1" pivotButton="0" quotePrefix="0" xfId="0"/>
    <xf numFmtId="0" fontId="0" fillId="5" borderId="1" pivotButton="0" quotePrefix="0" xfId="0"/>
    <xf numFmtId="0" fontId="0" fillId="7" borderId="1" pivotButton="0" quotePrefix="0" xfId="0"/>
    <xf numFmtId="0" fontId="0" fillId="8" borderId="1" pivotButton="0" quotePrefix="0" xfId="0"/>
    <xf numFmtId="0" fontId="0" fillId="9" borderId="1" pivotButton="0" quotePrefix="0" xfId="0"/>
    <xf numFmtId="0" fontId="4" fillId="0" borderId="0" applyAlignment="1" pivotButton="0" quotePrefix="0" xfId="0">
      <alignment horizontal="center" vertical="center" wrapText="1"/>
    </xf>
    <xf numFmtId="0" fontId="5"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7" borderId="1" applyAlignment="1" pivotButton="0" quotePrefix="0" xfId="0">
      <alignment horizontal="left" vertical="center" wrapText="1"/>
    </xf>
    <xf numFmtId="9" fontId="12" fillId="7"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164" fontId="0" fillId="0" borderId="1" pivotButton="0" quotePrefix="0" xfId="0"/>
    <xf numFmtId="0" fontId="0" fillId="0" borderId="1" pivotButton="0" quotePrefix="0" xfId="0"/>
    <xf numFmtId="0" fontId="2" fillId="2" borderId="0" applyAlignment="1" pivotButton="0" quotePrefix="0" xfId="0">
      <alignment horizontal="center" vertical="center" wrapText="1"/>
    </xf>
    <xf numFmtId="0" fontId="13" fillId="2" borderId="1" applyAlignment="1" pivotButton="0" quotePrefix="0" xfId="0">
      <alignment horizontal="center" vertical="center" wrapText="1"/>
    </xf>
    <xf numFmtId="0" fontId="11" fillId="7" borderId="1" pivotButton="0" quotePrefix="0" xfId="0"/>
    <xf numFmtId="0" fontId="3" fillId="0" borderId="1" pivotButton="0" quotePrefix="0" xfId="0"/>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0" fillId="14" borderId="1" applyAlignment="1" pivotButton="0" quotePrefix="0" xfId="0">
      <alignment horizontal="left" vertical="center" wrapText="1"/>
    </xf>
    <xf numFmtId="0" fontId="0" fillId="15" borderId="1" applyAlignment="1" pivotButton="0" quotePrefix="0" xfId="0">
      <alignment horizontal="left" vertical="center" wrapText="1"/>
    </xf>
    <xf numFmtId="0" fontId="0" fillId="16" borderId="1" applyAlignment="1" pivotButton="0" quotePrefix="0" xfId="0">
      <alignment horizontal="left" vertical="center" wrapText="1"/>
    </xf>
    <xf numFmtId="0" fontId="0" fillId="17" borderId="1" applyAlignment="1" pivotButton="0" quotePrefix="0" xfId="0">
      <alignment horizontal="left" vertical="center" wrapText="1"/>
    </xf>
    <xf numFmtId="0" fontId="14" fillId="0" borderId="0" pivotButton="0" quotePrefix="0" xfId="0"/>
    <xf numFmtId="165"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164" fontId="0" fillId="3"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0" borderId="1" pivotButton="0" quotePrefix="0" xfId="0"/>
    <xf numFmtId="0" fontId="0" fillId="0" borderId="4" pivotButton="0" quotePrefix="0" xfId="0"/>
    <xf numFmtId="165" fontId="0" fillId="0" borderId="1"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7" borderId="1" applyAlignment="1" pivotButton="0" quotePrefix="0" xfId="0">
      <alignment horizontal="left" vertical="center"/>
    </xf>
    <xf numFmtId="0" fontId="18" fillId="0" borderId="1" applyAlignment="1" pivotButton="0" quotePrefix="0" xfId="0">
      <alignment horizontal="left" vertical="top" wrapText="1"/>
    </xf>
    <xf numFmtId="0" fontId="17" fillId="7" borderId="1" pivotButton="0" quotePrefix="0" xfId="0"/>
    <xf numFmtId="0" fontId="0" fillId="0" borderId="7" pivotButton="0" quotePrefix="0" xfId="0"/>
    <xf numFmtId="0" fontId="0" fillId="0" borderId="8" pivotButton="0" quotePrefix="0" xfId="0"/>
    <xf numFmtId="0" fontId="19" fillId="0" borderId="0" applyAlignment="1" pivotButton="0" quotePrefix="0" xfId="0">
      <alignment horizontal="center" vertical="center" wrapText="1"/>
    </xf>
    <xf numFmtId="0" fontId="3" fillId="8" borderId="1" applyAlignment="1" pivotButton="0" quotePrefix="0" xfId="0">
      <alignment horizontal="center" vertical="center" wrapText="1"/>
    </xf>
    <xf numFmtId="0" fontId="12"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5" borderId="1" applyAlignment="1" pivotButton="0" quotePrefix="0" xfId="0">
      <alignment horizontal="center" vertical="center" wrapText="1"/>
    </xf>
    <xf numFmtId="0" fontId="3" fillId="9" borderId="1" applyAlignment="1" pivotButton="0" quotePrefix="0" xfId="0">
      <alignment horizontal="center" vertical="center" wrapText="1"/>
    </xf>
    <xf numFmtId="0" fontId="19" fillId="0" borderId="0" pivotButton="0" quotePrefix="0" xfId="0"/>
    <xf numFmtId="0" fontId="0" fillId="0" borderId="9" applyAlignment="1" pivotButton="0" quotePrefix="0" xfId="0">
      <alignment horizontal="center" vertical="center" wrapText="1"/>
    </xf>
    <xf numFmtId="0" fontId="0" fillId="0" borderId="9" pivotButton="0" quotePrefix="0" xfId="0"/>
    <xf numFmtId="0" fontId="0" fillId="12" borderId="1" pivotButton="0" quotePrefix="0" xfId="0"/>
    <xf numFmtId="0" fontId="0" fillId="10" borderId="1" pivotButton="0" quotePrefix="0" xfId="0"/>
    <xf numFmtId="0" fontId="0" fillId="11" borderId="1" pivotButton="0" quotePrefix="0" xfId="0"/>
  </cellXfs>
  <cellStyles count="1">
    <cellStyle name="Normal" xfId="0" builtinId="0" hidden="0"/>
  </cellStyles>
  <dxfs count="6">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C65911"/>
      </font>
      <fill>
        <patternFill patternType="solid">
          <fgColor rgb="00FCE4D6"/>
          <bgColor rgb="00FCE4D6"/>
        </patternFill>
      </fill>
    </dxf>
    <dxf>
      <font>
        <b val="1"/>
        <color rgb="00375623"/>
      </font>
      <fill>
        <patternFill patternType="solid">
          <fgColor rgb="00C6E0B4"/>
          <bgColor rgb="00C6E0B4"/>
        </patternFill>
      </fill>
    </dxf>
    <dxf>
      <font>
        <b val="1"/>
        <color rgb="0020124D"/>
      </font>
      <fill>
        <patternFill patternType="solid">
          <fgColor rgb="00D9D2E9"/>
          <bgColor rgb="00D9D2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showGridLines="0" zoomScale="10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2" customHeight="1">
      <c r="A1" s="57" t="inlineStr">
        <is>
          <t>COMO USAR ESTA PLANILHA — Cronograma MPMS (Analista TI / Desenvolvimento de Sistemas)</t>
        </is>
      </c>
    </row>
    <row r="2" ht="20" customHeight="1">
      <c r="A2" s="58" t="inlineStr">
        <is>
          <t>Guia rápido de cada aba — o que preencher, o que é automático e a ordem de uso no dia a dia</t>
        </is>
      </c>
    </row>
    <row r="4" ht="22" customHeight="1">
      <c r="A4" s="59" t="inlineStr">
        <is>
          <t>1. DIÁRIO DE ESTUDO — comece por aqui todo dia</t>
        </is>
      </c>
      <c r="B4" s="62" t="n"/>
      <c r="C4" s="62" t="n"/>
      <c r="D4" s="62" t="n"/>
      <c r="E4" s="62" t="n"/>
      <c r="F4" s="63" t="n"/>
    </row>
    <row r="5">
      <c r="A5" s="60" t="inlineStr">
        <is>
          <t>•  É o coração da planilha. Cada linha é uma tarefa: matéria + assunto do dia, já organizados por rodízio (nunca fica só numa matéria).</t>
        </is>
      </c>
      <c r="B5" s="62" t="n"/>
      <c r="C5" s="62" t="n"/>
      <c r="D5" s="62" t="n"/>
      <c r="E5" s="62" t="n"/>
      <c r="F5" s="63" t="n"/>
    </row>
    <row r="6">
      <c r="A6" s="60" t="inlineStr">
        <is>
          <t>•  As linhas de tipo REVISÃO 24H / 7 DIAS / 15 DIAS / 30 DIAS aparecem sozinhas nas datas certas — é o sistema de revisão espaçada (o que você estuda hoje, volta a aparecer em 1, 7, 15 e 30 dias).</t>
        </is>
      </c>
      <c r="B6" s="62" t="n"/>
      <c r="C6" s="62" t="n"/>
      <c r="D6" s="62" t="n"/>
      <c r="E6" s="62" t="n"/>
      <c r="F6" s="63" t="n"/>
    </row>
    <row r="7">
      <c r="A7" s="60" t="inlineStr">
        <is>
          <t>•  TODO DIA, depois de estudar: preencha só as colunas QUESTÕES (quantas fez) e ACERTOS (quantas acertou) na linha do assunto correspondente.</t>
        </is>
      </c>
      <c r="B7" s="62" t="n"/>
      <c r="C7" s="62" t="n"/>
      <c r="D7" s="62" t="n"/>
      <c r="E7" s="62" t="n"/>
      <c r="F7" s="63" t="n"/>
    </row>
    <row r="8">
      <c r="A8" s="60" t="inlineStr">
        <is>
          <t>•  Não precisa mexer em mais nada nessa aba — data, matéria e assunto já vêm prontos.</t>
        </is>
      </c>
      <c r="B8" s="62" t="n"/>
      <c r="C8" s="62" t="n"/>
      <c r="D8" s="62" t="n"/>
      <c r="E8" s="62" t="n"/>
      <c r="F8" s="63" t="n"/>
    </row>
    <row r="10" ht="22" customHeight="1">
      <c r="A10" s="59" t="inlineStr">
        <is>
          <t>2. EDITAL — checklist de tudo que cai na prova</t>
        </is>
      </c>
      <c r="B10" s="62" t="n"/>
      <c r="C10" s="62" t="n"/>
      <c r="D10" s="62" t="n"/>
      <c r="E10" s="62" t="n"/>
      <c r="F10" s="63" t="n"/>
    </row>
    <row r="11">
      <c r="A11" s="60" t="inlineStr">
        <is>
          <t>•  Lista todos os assuntos do cargo, agrupados por matéria, com um status: SIM / NÃO / ATENÇÃO / PRECISO ESTUDAR / DOMINO / CAIU NA ÚLTIMA PROVA.</t>
        </is>
      </c>
      <c r="B11" s="62" t="n"/>
      <c r="C11" s="62" t="n"/>
      <c r="D11" s="62" t="n"/>
      <c r="E11" s="62" t="n"/>
      <c r="F11" s="63" t="n"/>
    </row>
    <row r="12">
      <c r="A12" s="60" t="inlineStr">
        <is>
          <t>•  Marque 'MATÉRIA ESTUDADA', 'AULAS/TEORIA' e 'JÁ FIZ QUESTÕES?' para cada assunto conforme for avançando — a célula muda de cor sozinha (verde = SIM, vermelho = NÃO, etc.).</t>
        </is>
      </c>
      <c r="B12" s="62" t="n"/>
      <c r="C12" s="62" t="n"/>
      <c r="D12" s="62" t="n"/>
      <c r="E12" s="62" t="n"/>
      <c r="F12" s="63" t="n"/>
    </row>
    <row r="13">
      <c r="A13" s="60" t="inlineStr">
        <is>
          <t>•  As colunas QTD. EXERC. e ACERTOS NÃO se preenchem aqui — elas somam sozinhas o que você lançou no Diário de estudo para aquele mesmo assunto.</t>
        </is>
      </c>
      <c r="B13" s="62" t="n"/>
      <c r="C13" s="62" t="n"/>
      <c r="D13" s="62" t="n"/>
      <c r="E13" s="62" t="n"/>
      <c r="F13" s="63" t="n"/>
    </row>
    <row r="14">
      <c r="A14" s="60" t="inlineStr">
        <is>
          <t>•  DESEMP. (%) é automático (acertos ÷ questões). REVISÃO 1º/2º/3º: preencha a data em que revisou aquele assunto especificamente (além das revisões automáticas do Diário).</t>
        </is>
      </c>
      <c r="B14" s="62" t="n"/>
      <c r="C14" s="62" t="n"/>
      <c r="D14" s="62" t="n"/>
      <c r="E14" s="62" t="n"/>
      <c r="F14" s="63" t="n"/>
    </row>
    <row r="15">
      <c r="A15" s="60" t="inlineStr">
        <is>
          <t>•  Cada matéria tem, no cabeçalho do bloco, o % concluído (quantos assuntos já estão marcados SIM em 'matéria estudada').</t>
        </is>
      </c>
      <c r="B15" s="62" t="n"/>
      <c r="C15" s="62" t="n"/>
      <c r="D15" s="62" t="n"/>
      <c r="E15" s="62" t="n"/>
      <c r="F15" s="63" t="n"/>
    </row>
    <row r="16">
      <c r="A16" s="60" t="inlineStr">
        <is>
          <t>•  ANOTAÇÕES: use para registrar dúvidas, pegadinhas ou o que você mais erra nesse assunto — útil para o Caderno de Erros.</t>
        </is>
      </c>
      <c r="B16" s="62" t="n"/>
      <c r="C16" s="62" t="n"/>
      <c r="D16" s="62" t="n"/>
      <c r="E16" s="62" t="n"/>
      <c r="F16" s="63" t="n"/>
    </row>
    <row r="18" ht="22" customHeight="1">
      <c r="A18" s="59" t="inlineStr">
        <is>
          <t>3. CONTROLE DE QUESTÕES — visão semanal do desempenho</t>
        </is>
      </c>
      <c r="B18" s="62" t="n"/>
      <c r="C18" s="62" t="n"/>
      <c r="D18" s="62" t="n"/>
      <c r="E18" s="62" t="n"/>
      <c r="F18" s="63" t="n"/>
    </row>
    <row r="19">
      <c r="A19" s="60" t="inlineStr">
        <is>
          <t>•  Mostra, semana a semana (16 semanas, de 14/09 a 31/12), quantas questões você fez e acertou em cada matéria.</t>
        </is>
      </c>
      <c r="B19" s="62" t="n"/>
      <c r="C19" s="62" t="n"/>
      <c r="D19" s="62" t="n"/>
      <c r="E19" s="62" t="n"/>
      <c r="F19" s="63" t="n"/>
    </row>
    <row r="20">
      <c r="A20" s="60" t="inlineStr">
        <is>
          <t>•  100% automático: soma direto o que está lançado no Diário de estudo, separando por data (semana) e matéria.</t>
        </is>
      </c>
      <c r="B20" s="62" t="n"/>
      <c r="C20" s="62" t="n"/>
      <c r="D20" s="62" t="n"/>
      <c r="E20" s="62" t="n"/>
      <c r="F20" s="63" t="n"/>
    </row>
    <row r="21">
      <c r="A21" s="60" t="inlineStr">
        <is>
          <t>•  Não precisa preencher nada aqui — é só para acompanhar a evolução e ver se alguma matéria está ficando para trás.</t>
        </is>
      </c>
      <c r="B21" s="62" t="n"/>
      <c r="C21" s="62" t="n"/>
      <c r="D21" s="62" t="n"/>
      <c r="E21" s="62" t="n"/>
      <c r="F21" s="63" t="n"/>
    </row>
    <row r="22">
      <c r="A22" s="60" t="inlineStr">
        <is>
          <t>•  A linha TOTAL, no final, soma todas as matérias por semana.</t>
        </is>
      </c>
      <c r="B22" s="62" t="n"/>
      <c r="C22" s="62" t="n"/>
      <c r="D22" s="62" t="n"/>
      <c r="E22" s="62" t="n"/>
      <c r="F22" s="63" t="n"/>
    </row>
    <row r="24" ht="22" customHeight="1">
      <c r="A24" s="59" t="inlineStr">
        <is>
          <t>4. HORÁRIO — grade semanal de referência</t>
        </is>
      </c>
      <c r="B24" s="62" t="n"/>
      <c r="C24" s="62" t="n"/>
      <c r="D24" s="62" t="n"/>
      <c r="E24" s="62" t="n"/>
      <c r="F24" s="63" t="n"/>
    </row>
    <row r="25">
      <c r="A25" s="60" t="inlineStr">
        <is>
          <t>•  Mostra, de forma resumida, o que estudar em cada dia da semana (Bloco 1 de 2h nos dias úteis; Bloco 1 + Bloco 2 de 2h cada no sábado e domingo = 4h).</t>
        </is>
      </c>
      <c r="B25" s="62" t="n"/>
      <c r="C25" s="62" t="n"/>
      <c r="D25" s="62" t="n"/>
      <c r="E25" s="62" t="n"/>
      <c r="F25" s="63" t="n"/>
    </row>
    <row r="26">
      <c r="A26" s="60" t="inlineStr">
        <is>
          <t>•  É só uma referência visual rápida — a agenda real, dia por dia até 31/12, está completa na aba Diário de estudo.</t>
        </is>
      </c>
      <c r="B26" s="62" t="n"/>
      <c r="C26" s="62" t="n"/>
      <c r="D26" s="62" t="n"/>
      <c r="E26" s="62" t="n"/>
      <c r="F26" s="63" t="n"/>
    </row>
    <row r="27">
      <c r="A27" s="60" t="inlineStr">
        <is>
          <t>•  Não precisa preencher nada aqui.</t>
        </is>
      </c>
      <c r="B27" s="62" t="n"/>
      <c r="C27" s="62" t="n"/>
      <c r="D27" s="62" t="n"/>
      <c r="E27" s="62" t="n"/>
      <c r="F27" s="63" t="n"/>
    </row>
    <row r="29" ht="22" customHeight="1">
      <c r="A29" s="59" t="inlineStr">
        <is>
          <t>5. DICA DE HORAS DE ESTUDO — quanto tempo dar pra cada matéria</t>
        </is>
      </c>
      <c r="B29" s="62" t="n"/>
      <c r="C29" s="62" t="n"/>
      <c r="D29" s="62" t="n"/>
      <c r="E29" s="62" t="n"/>
      <c r="F29" s="63" t="n"/>
    </row>
    <row r="30">
      <c r="A30" s="60" t="inlineStr">
        <is>
          <t>•  Mostra o peso de cada matéria e quantas horas por semana ela deveria receber, para fechar as 18h/semana (2h dias úteis + 4h sábado + 4h domingo).</t>
        </is>
      </c>
      <c r="B30" s="62" t="n"/>
      <c r="C30" s="62" t="n"/>
      <c r="D30" s="62" t="n"/>
      <c r="E30" s="62" t="n"/>
      <c r="F30" s="63" t="n"/>
    </row>
    <row r="31">
      <c r="A31" s="60" t="inlineStr">
        <is>
          <t>•  A coluna 'HORAS NO DIÁRIO' soma automaticamente quantas horas já estão programadas/estudadas no Diário para cada matéria.</t>
        </is>
      </c>
      <c r="B31" s="62" t="n"/>
      <c r="C31" s="62" t="n"/>
      <c r="D31" s="62" t="n"/>
      <c r="E31" s="62" t="n"/>
      <c r="F31" s="63" t="n"/>
    </row>
    <row r="32">
      <c r="A32" s="60" t="inlineStr">
        <is>
          <t>•  Matérias com peso maior (Engenharia de Software, Arquitetura de Software, Linguagens de Programação, Estrutura de Dados, Banco de Dados) aparecem com mais frequência no rodízio.</t>
        </is>
      </c>
      <c r="B32" s="62" t="n"/>
      <c r="C32" s="62" t="n"/>
      <c r="D32" s="62" t="n"/>
      <c r="E32" s="62" t="n"/>
      <c r="F32" s="63" t="n"/>
    </row>
    <row r="33">
      <c r="A33" s="60" t="inlineStr">
        <is>
          <t>•  Não precisa preencher nada aqui — é só consulta.</t>
        </is>
      </c>
      <c r="B33" s="62" t="n"/>
      <c r="C33" s="62" t="n"/>
      <c r="D33" s="62" t="n"/>
      <c r="E33" s="62" t="n"/>
      <c r="F33" s="63" t="n"/>
    </row>
    <row r="35" ht="22" customHeight="1">
      <c r="A35" s="59" t="inlineStr">
        <is>
          <t>6. CADERNO DE ERROS — para questões que você errou</t>
        </is>
      </c>
      <c r="B35" s="62" t="n"/>
      <c r="C35" s="62" t="n"/>
      <c r="D35" s="62" t="n"/>
      <c r="E35" s="62" t="n"/>
      <c r="F35" s="63" t="n"/>
    </row>
    <row r="36">
      <c r="A36" s="60" t="inlineStr">
        <is>
          <t>•  Use sempre que errar uma questão de banca (simulados, provas anteriores, questões avulsas).</t>
        </is>
      </c>
      <c r="B36" s="62" t="n"/>
      <c r="C36" s="62" t="n"/>
      <c r="D36" s="62" t="n"/>
      <c r="E36" s="62" t="n"/>
      <c r="F36" s="63" t="n"/>
    </row>
    <row r="37">
      <c r="A37" s="60" t="inlineStr">
        <is>
          <t>•  MATÉRIA/ASSUNTO: escolha na lista suspensa (mesma lista das outras abas). BANCA/ANO/ÓRGÃO: de onde veio a questão.</t>
        </is>
      </c>
      <c r="B37" s="62" t="n"/>
      <c r="C37" s="62" t="n"/>
      <c r="D37" s="62" t="n"/>
      <c r="E37" s="62" t="n"/>
      <c r="F37" s="63" t="n"/>
    </row>
    <row r="38">
      <c r="A38" s="60" t="inlineStr">
        <is>
          <t>•  DATA ESTUDADA e DATA PARA REPETIR: quando você viu o erro e quando pretende revisar essa questão de novo.</t>
        </is>
      </c>
      <c r="B38" s="62" t="n"/>
      <c r="C38" s="62" t="n"/>
      <c r="D38" s="62" t="n"/>
      <c r="E38" s="62" t="n"/>
      <c r="F38" s="63" t="n"/>
    </row>
    <row r="39">
      <c r="A39" s="60" t="inlineStr">
        <is>
          <t>•  MOTIVO DO ERRO: escolha Desatenção, Desconhecimento ou Esquecimento na lista suspensa — isso ajuda a identificar padrões (ex: se você sempre erra por desatenção, o problema não é teoria, é ritmo de prova).</t>
        </is>
      </c>
      <c r="B39" s="62" t="n"/>
      <c r="C39" s="62" t="n"/>
      <c r="D39" s="62" t="n"/>
      <c r="E39" s="62" t="n"/>
      <c r="F39" s="63" t="n"/>
    </row>
    <row r="40">
      <c r="A40" s="60" t="inlineStr">
        <is>
          <t>•  FUNDAMENTO DA RESPOSTA CERTA: escreva em suas palavras por que a resposta certa está certa — é o que fixa o conteúdo de verdade.</t>
        </is>
      </c>
      <c r="B40" s="62" t="n"/>
      <c r="C40" s="62" t="n"/>
      <c r="D40" s="62" t="n"/>
      <c r="E40" s="62" t="n"/>
      <c r="F40" s="63" t="n"/>
    </row>
    <row r="41">
      <c r="A41" s="60" t="inlineStr">
        <is>
          <t>•  Dica: resolva pelo menos 10 questões por assunto estudado e passe para o Caderno de Erros só as 2-3 que mais te confundiram — não precisa registrar tudo.</t>
        </is>
      </c>
      <c r="B41" s="62" t="n"/>
      <c r="C41" s="62" t="n"/>
      <c r="D41" s="62" t="n"/>
      <c r="E41" s="62" t="n"/>
      <c r="F41" s="63" t="n"/>
    </row>
    <row r="43" ht="22" customHeight="1">
      <c r="A43" s="61" t="inlineStr">
        <is>
          <t>ROTINA SUGERIDA DE USO (nessa ordem)</t>
        </is>
      </c>
      <c r="B43" s="62" t="n"/>
      <c r="C43" s="62" t="n"/>
      <c r="D43" s="62" t="n"/>
      <c r="E43" s="62" t="n"/>
      <c r="F43" s="63" t="n"/>
    </row>
    <row r="44">
      <c r="A44" s="60" t="inlineStr">
        <is>
          <t>1) Abra o Diário de estudo e veja a tarefa do dia (matéria + assunto + eventuais revisões).</t>
        </is>
      </c>
      <c r="B44" s="62" t="n"/>
      <c r="C44" s="62" t="n"/>
      <c r="D44" s="62" t="n"/>
      <c r="E44" s="62" t="n"/>
      <c r="F44" s="63" t="n"/>
    </row>
    <row r="45">
      <c r="A45" s="60" t="inlineStr">
        <is>
          <t>2) Estude e faça questões do assunto.</t>
        </is>
      </c>
      <c r="B45" s="62" t="n"/>
      <c r="C45" s="62" t="n"/>
      <c r="D45" s="62" t="n"/>
      <c r="E45" s="62" t="n"/>
      <c r="F45" s="63" t="n"/>
    </row>
    <row r="46">
      <c r="A46" s="60" t="inlineStr">
        <is>
          <t>3) No Diário, preencha QUESTÕES e ACERTOS da linha de hoje.</t>
        </is>
      </c>
      <c r="B46" s="62" t="n"/>
      <c r="C46" s="62" t="n"/>
      <c r="D46" s="62" t="n"/>
      <c r="E46" s="62" t="n"/>
      <c r="F46" s="63" t="n"/>
    </row>
    <row r="47">
      <c r="A47" s="60" t="inlineStr">
        <is>
          <t>4) No EDITAL, marque o status do assunto (SIM em matéria estudada, aulas/teoria, já fiz questões).</t>
        </is>
      </c>
      <c r="B47" s="62" t="n"/>
      <c r="C47" s="62" t="n"/>
      <c r="D47" s="62" t="n"/>
      <c r="E47" s="62" t="n"/>
      <c r="F47" s="63" t="n"/>
    </row>
    <row r="48">
      <c r="A48" s="60" t="inlineStr">
        <is>
          <t>5) Se errou alguma questão de banca, registre no Caderno de Erros.</t>
        </is>
      </c>
      <c r="B48" s="62" t="n"/>
      <c r="C48" s="62" t="n"/>
      <c r="D48" s="62" t="n"/>
      <c r="E48" s="62" t="n"/>
      <c r="F48" s="63" t="n"/>
    </row>
    <row r="49">
      <c r="A49" s="60" t="inlineStr">
        <is>
          <t>6) Uma vez por semana, dê uma olhada no Controle de Questões e na Dica de Horas de Estudo para ver se está equilibrado entre as matérias.</t>
        </is>
      </c>
      <c r="B49" s="62" t="n"/>
      <c r="C49" s="62" t="n"/>
      <c r="D49" s="62" t="n"/>
      <c r="E49" s="62" t="n"/>
      <c r="F49" s="63" t="n"/>
    </row>
  </sheetData>
  <mergeCells count="42">
    <mergeCell ref="A41:F41"/>
    <mergeCell ref="A16:F16"/>
    <mergeCell ref="A46:F46"/>
    <mergeCell ref="A37:F37"/>
    <mergeCell ref="A27:F27"/>
    <mergeCell ref="A12:F12"/>
    <mergeCell ref="A18:F18"/>
    <mergeCell ref="A26:F26"/>
    <mergeCell ref="A21:F21"/>
    <mergeCell ref="A2:F2"/>
    <mergeCell ref="A33:F33"/>
    <mergeCell ref="A47:F47"/>
    <mergeCell ref="A14:F14"/>
    <mergeCell ref="A5:F5"/>
    <mergeCell ref="A32:F32"/>
    <mergeCell ref="A8:F8"/>
    <mergeCell ref="A22:F22"/>
    <mergeCell ref="A35:F35"/>
    <mergeCell ref="A4:F4"/>
    <mergeCell ref="A20:F20"/>
    <mergeCell ref="A29:F29"/>
    <mergeCell ref="A43:F43"/>
    <mergeCell ref="A38:F38"/>
    <mergeCell ref="A10:F10"/>
    <mergeCell ref="A13:F13"/>
    <mergeCell ref="A19:F19"/>
    <mergeCell ref="A44:F44"/>
    <mergeCell ref="A31:F31"/>
    <mergeCell ref="A40:F40"/>
    <mergeCell ref="A48:F48"/>
    <mergeCell ref="A30:F30"/>
    <mergeCell ref="A39:F39"/>
    <mergeCell ref="A15:F15"/>
    <mergeCell ref="A24:F24"/>
    <mergeCell ref="A11:F11"/>
    <mergeCell ref="A49:F49"/>
    <mergeCell ref="A36:F36"/>
    <mergeCell ref="A1:F1"/>
    <mergeCell ref="A45:F45"/>
    <mergeCell ref="A6:F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12" customWidth="1" min="1" max="1"/>
    <col width="26" customWidth="1" min="2" max="2"/>
    <col width="55" customWidth="1" min="3" max="3"/>
    <col width="45" customWidth="1" min="4" max="4"/>
  </cols>
  <sheetData>
    <row r="1" ht="30" customHeight="1">
      <c r="A1" s="57" t="inlineStr">
        <is>
          <t>TÉCNICAS DE ESTUDO — o que a ciência mostra que funciona</t>
        </is>
      </c>
    </row>
    <row r="2" ht="18" customHeight="1">
      <c r="A2" s="64" t="inlineStr">
        <is>
          <t>Baseado na revisão de Dunlosky, Rawson, Marsh, Nathan &amp; Willingham (2013), a mais citada sobre eficácia de técnicas de aprendizagem</t>
        </is>
      </c>
    </row>
    <row r="4">
      <c r="A4" s="18" t="inlineStr">
        <is>
          <t>LEGENDA DE EFICÁCIA:</t>
        </is>
      </c>
    </row>
    <row r="5">
      <c r="A5" s="23" t="inlineStr">
        <is>
          <t>ALTA — priorize sempre</t>
        </is>
      </c>
      <c r="B5" s="62" t="n"/>
      <c r="C5" s="63" t="n"/>
    </row>
    <row r="7">
      <c r="A7" s="21" t="inlineStr">
        <is>
          <t>MODERADA — bom complemento</t>
        </is>
      </c>
      <c r="B7" s="62" t="n"/>
      <c r="C7" s="63" t="n"/>
    </row>
    <row r="9">
      <c r="A9" s="24" t="inlineStr">
        <is>
          <t>BAIXA — evite usar sozinha</t>
        </is>
      </c>
      <c r="B9" s="62" t="n"/>
      <c r="C9" s="63" t="n"/>
    </row>
    <row r="11" ht="22" customHeight="1">
      <c r="A11" s="2" t="inlineStr">
        <is>
          <t>EFICÁCIA</t>
        </is>
      </c>
      <c r="B11" s="2" t="inlineStr">
        <is>
          <t>TÉCNICA</t>
        </is>
      </c>
      <c r="C11" s="2" t="inlineStr">
        <is>
          <t>O QUE É E POR QUE FUNCIONA</t>
        </is>
      </c>
      <c r="D11" s="2" t="inlineStr">
        <is>
          <t>COMO JÁ ESTÁ NA SUA PLANILHA / RECOMENDAÇÃO</t>
        </is>
      </c>
    </row>
    <row r="12" ht="90" customHeight="1">
      <c r="A12" s="65" t="inlineStr">
        <is>
          <t>ALTA</t>
        </is>
      </c>
      <c r="B12" s="66" t="inlineStr">
        <is>
          <t>Active Recall (prática de recuperação)</t>
        </is>
      </c>
      <c r="C12" s="67" t="inlineStr">
        <is>
          <t>Testar-se ativamente sobre o conteúdo — fechar o material e tentar lembrar, responder questões, recitar em voz alta — em vez de reler ou apenas assistir aula. É a técnica com maior efeito comprovado sobre retenção de longo prazo, porque força o cérebro a reconstruir a informação, e não só reconhecê-la.</t>
        </is>
      </c>
      <c r="D12" s="67" t="inlineStr">
        <is>
          <t>Na planilha: aba EDITAL (marcar 'já fiz questões') e Diário de estudo (bloco de questões todo dia, antes de considerar o assunto 'dominado').</t>
        </is>
      </c>
    </row>
    <row r="13" ht="90" customHeight="1">
      <c r="A13" s="65" t="inlineStr">
        <is>
          <t>ALTA</t>
        </is>
      </c>
      <c r="B13" s="66" t="inlineStr">
        <is>
          <t>Repetição Espaçada (Spaced Repetition)</t>
        </is>
      </c>
      <c r="C13" s="67" t="inlineStr">
        <is>
          <t>Revisar o mesmo conteúdo em intervalos crescentes (ex.: 1, 7, 15, 30 dias) em vez de estudar tudo de uma vez e nunca mais voltar. Cada revisão no momento certo (pouco antes de esquecer) fortalece a memória de longo prazo muito mais que reestudar tudo de uma vez (cramming).</t>
        </is>
      </c>
      <c r="D13" s="67" t="inlineStr">
        <is>
          <t>Na planilha: aba Diário de estudo já gera automaticamente as linhas de REVISÃO 24H / 7 DIAS / 15 DIAS / 30 DIAS para cada assunto estudado.</t>
        </is>
      </c>
    </row>
    <row r="14" ht="90" customHeight="1">
      <c r="A14" s="65" t="inlineStr">
        <is>
          <t>ALTA</t>
        </is>
      </c>
      <c r="B14" s="66" t="inlineStr">
        <is>
          <t>Intercalação (Interleaving)</t>
        </is>
      </c>
      <c r="C14" s="67" t="inlineStr">
        <is>
          <t>Misturar matérias ou tipos de problema numa mesma sessão de estudo, em vez de estudar um assunto isolado até exaustão (blocked practice). Aumenta o esforço mental no curto prazo (parece mais difícil), mas melhora a capacidade de diferenciar e aplicar o conhecimento certo na hora certa — o que é exatamente o que uma prova de concurso exige.</t>
        </is>
      </c>
      <c r="D14" s="67" t="inlineStr">
        <is>
          <t>Na planilha: o cronograma já roda em rodízio entre as matérias, nunca em blocos fechados de uma matéria só.</t>
        </is>
      </c>
    </row>
    <row r="15" ht="90" customHeight="1">
      <c r="A15" s="68" t="inlineStr">
        <is>
          <t>MODERADA</t>
        </is>
      </c>
      <c r="B15" s="66" t="inlineStr">
        <is>
          <t>Elaboração (Elaborative Interrogation / Self-Explanation)</t>
        </is>
      </c>
      <c r="C15" s="67" t="inlineStr">
        <is>
          <t>Perguntar e responder 'por quê' e 'como' sobre o conteúdo, em vez de só memorizar o 'o quê'. Explicar com suas próprias palavras por que uma resposta está certa cria conexões mais profundas com o que você já sabe.</t>
        </is>
      </c>
      <c r="D15" s="67" t="inlineStr">
        <is>
          <t>Na planilha: campo 'Fundamento da resposta certa' no Caderno de Erros.</t>
        </is>
      </c>
    </row>
    <row r="16" ht="90" customHeight="1">
      <c r="A16" s="68" t="inlineStr">
        <is>
          <t>MODERADA</t>
        </is>
      </c>
      <c r="B16" s="66" t="inlineStr">
        <is>
          <t>Exemplos Concretos (Concrete Examples)</t>
        </is>
      </c>
      <c r="C16" s="67" t="inlineStr">
        <is>
          <t>Associar conceitos abstratos a exemplos e situações reais e específicas. Ajuda a lembrar e a transferir o conhecimento para questões com contextos diferentes do material original.</t>
        </is>
      </c>
      <c r="D16" s="67" t="inlineStr">
        <is>
          <t>Na prática: ao estudar Direito Administrativo/Legislação, relacione com situações reais do setor público que você já vivencia no trabalho.</t>
        </is>
      </c>
    </row>
    <row r="17" ht="90" customHeight="1">
      <c r="A17" s="68" t="inlineStr">
        <is>
          <t>MODERADA</t>
        </is>
      </c>
      <c r="B17" s="66" t="inlineStr">
        <is>
          <t>Prática Distribuída (Distributed Practice)</t>
        </is>
      </c>
      <c r="C17" s="67" t="inlineStr">
        <is>
          <t>Estudar em sessões mais curtas e frequentes ao longo do tempo, em vez de sessões longas e raras. É o princípio por trás da repetição espaçada aplicado à carga horária diária.</t>
        </is>
      </c>
      <c r="D17" s="67" t="inlineStr">
        <is>
          <t>Na planilha: rotina de 2h em dias úteis + 4h no fim de semana, em vez de tentar concentrar tudo em uma única maratona.</t>
        </is>
      </c>
    </row>
    <row r="18" ht="90" customHeight="1">
      <c r="A18" s="69" t="inlineStr">
        <is>
          <t>BAIXA</t>
        </is>
      </c>
      <c r="B18" s="66" t="inlineStr">
        <is>
          <t>Releitura (Rereading)</t>
        </is>
      </c>
      <c r="C18" s="67" t="inlineStr">
        <is>
          <t>Ler o mesmo material várias vezes. Dá uma falsa sensação de domínio (familiaridade é confundida com aprendizado), mas o efeito real sobre a retenção é fraco quando usada sozinha, sem teste ativo.</t>
        </is>
      </c>
      <c r="D18" s="67" t="inlineStr">
        <is>
          <t>Uso recomendado: só como primeiro contato com o conteúdo, nunca como método principal de revisão — substitua por active recall.</t>
        </is>
      </c>
    </row>
    <row r="19" ht="90" customHeight="1">
      <c r="A19" s="69" t="inlineStr">
        <is>
          <t>BAIXA</t>
        </is>
      </c>
      <c r="B19" s="66" t="inlineStr">
        <is>
          <t>Grifar e Destacar (Highlighting/Underlining)</t>
        </is>
      </c>
      <c r="C19" s="67" t="inlineStr">
        <is>
          <t>Marcar trechos do texto como importantes. É passivo, exige pouco esforço cognitivo e não força a reorganização da informação na memória — por isso o efeito comprovado é baixo.</t>
        </is>
      </c>
      <c r="D19" s="67" t="inlineStr">
        <is>
          <t>Uso recomendado: pode ajudar a localizar informação depois, mas não substitui fazer questões ou se testar sobre o trecho grifado.</t>
        </is>
      </c>
    </row>
    <row r="20" ht="90" customHeight="1">
      <c r="A20" s="69" t="inlineStr">
        <is>
          <t>BAIXA</t>
        </is>
      </c>
      <c r="B20" s="66" t="inlineStr">
        <is>
          <t>Resumos (Summarization)</t>
        </is>
      </c>
      <c r="C20" s="67" t="inlineStr">
        <is>
          <t>Reescrever o conteúdo de forma condensada. Funciona razoavelmente bem para quem já sabe resumir bem (identificar o que é essencial), mas tem eficácia inconsistente e é uma habilidade que a maioria das pessoas não domina bem.</t>
        </is>
      </c>
      <c r="D20" s="67" t="inlineStr">
        <is>
          <t>Uso recomendado: útil para organizar o material antes de estudar, mas não é revisão — depois do resumo pronto, teste-se sobre ele com active recall.</t>
        </is>
      </c>
    </row>
    <row r="22" ht="22" customHeight="1">
      <c r="A22" s="61" t="inlineStr">
        <is>
          <t>RESUMO PRÁTICO</t>
        </is>
      </c>
      <c r="B22" s="62" t="n"/>
      <c r="C22" s="62" t="n"/>
      <c r="D22" s="63" t="n"/>
    </row>
    <row r="23">
      <c r="A23" s="60" t="inlineStr">
        <is>
          <t>•  Priorize sempre: fazer questões (active recall) + revisar em intervalos crescentes (repetição espaçada) + misturar matérias (intercalação).</t>
        </is>
      </c>
      <c r="B23" s="62" t="n"/>
      <c r="C23" s="62" t="n"/>
      <c r="D23" s="63" t="n"/>
    </row>
    <row r="24">
      <c r="A24" s="60" t="inlineStr">
        <is>
          <t>•  O erro mais comum é inverter a ordem: estudar teoria exaustivamente e deixar questões só para o fim. O ideal é começar a fazer questões cedo, mesmo errando muito no início — o erro guiado é parte do aprendizado.</t>
        </is>
      </c>
      <c r="B24" s="62" t="n"/>
      <c r="C24" s="62" t="n"/>
      <c r="D24" s="63" t="n"/>
    </row>
    <row r="25">
      <c r="A25" s="60" t="inlineStr">
        <is>
          <t>•  Releitura, grifar e resumir sozinhos dão sensação de progresso, mas retêm pouco. Use-os só como preparação, nunca como substituto de se testar.</t>
        </is>
      </c>
      <c r="B25" s="62" t="n"/>
      <c r="C25" s="62" t="n"/>
      <c r="D25" s="63" t="n"/>
    </row>
    <row r="26">
      <c r="A26" s="60" t="inlineStr">
        <is>
          <t>•  Essa planilha já foi montada em cima das técnicas de alta eficácia: o rodízio de matérias é intercalação, as linhas de REVISÃO 24H/7D/15D/30D no Diário são repetição espaçada, e o Controle de Questões + Caderno de Erros existem para forçar prática ativa.</t>
        </is>
      </c>
      <c r="B26" s="62" t="n"/>
      <c r="C26" s="62" t="n"/>
      <c r="D26" s="63" t="n"/>
    </row>
    <row r="28">
      <c r="A28" s="70" t="inlineStr">
        <is>
          <t>Fonte: Dunlosky, J., Rawson, K. A., Marsh, E. J., Nathan, M. J., &amp; Willingham, D. T. (2013). Improving Students' Learning With Effective Learning Techniques. Psychological Science in the Public Interest, 14(1), 4–58.</t>
        </is>
      </c>
    </row>
  </sheetData>
  <mergeCells count="11">
    <mergeCell ref="A2:F2"/>
    <mergeCell ref="A23:D23"/>
    <mergeCell ref="A5:C5"/>
    <mergeCell ref="A22:D22"/>
    <mergeCell ref="A1:F1"/>
    <mergeCell ref="A26:D26"/>
    <mergeCell ref="A9:C9"/>
    <mergeCell ref="A25:D25"/>
    <mergeCell ref="A24:D24"/>
    <mergeCell ref="A7:C7"/>
    <mergeCell ref="A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8"/>
  <sheetViews>
    <sheetView showGridLines="0" workbookViewId="0">
      <pane ySplit="2" topLeftCell="A3" activePane="bottomLeft" state="frozen"/>
      <selection pane="bottomLeft" activeCell="A1" sqref="A1"/>
    </sheetView>
  </sheetViews>
  <sheetFormatPr baseColWidth="8" defaultRowHeight="15"/>
  <cols>
    <col width="13" customWidth="1" min="1" max="1"/>
    <col width="13" customWidth="1" min="2" max="2"/>
    <col width="6" customWidth="1" min="3" max="3"/>
    <col width="24" customWidth="1" min="4" max="4"/>
    <col width="15" customWidth="1" min="5" max="5"/>
    <col width="46" customWidth="1" min="6" max="6"/>
    <col width="9" customWidth="1" min="7" max="7"/>
    <col width="10" customWidth="1" min="8" max="8"/>
    <col width="9" customWidth="1" min="9" max="9"/>
    <col width="13" customWidth="1" min="10" max="10"/>
  </cols>
  <sheetData>
    <row r="1" ht="24" customHeight="1">
      <c r="A1" s="1" t="inlineStr">
        <is>
          <t>DIÁRIO DE ESTUDO — preencha QUESTÕES e ACERTOS aqui; as outras abas somam sozinhas</t>
        </is>
      </c>
    </row>
    <row r="2">
      <c r="A2" s="2" t="inlineStr">
        <is>
          <t>DATA</t>
        </is>
      </c>
      <c r="B2" s="2" t="inlineStr">
        <is>
          <t>DIA DA SEMANA</t>
        </is>
      </c>
      <c r="C2" s="2" t="inlineStr">
        <is>
          <t>Nº</t>
        </is>
      </c>
      <c r="D2" s="2" t="inlineStr">
        <is>
          <t>MATÉRIA</t>
        </is>
      </c>
      <c r="E2" s="2" t="inlineStr">
        <is>
          <t>TIPO</t>
        </is>
      </c>
      <c r="F2" s="2" t="inlineStr">
        <is>
          <t>ASSUNTO / ATIVIDADE</t>
        </is>
      </c>
      <c r="G2" s="2" t="inlineStr">
        <is>
          <t>CH (MIN)</t>
        </is>
      </c>
      <c r="H2" s="2" t="inlineStr">
        <is>
          <t>QUESTÕES</t>
        </is>
      </c>
      <c r="I2" s="2" t="inlineStr">
        <is>
          <t>ACERTOS</t>
        </is>
      </c>
      <c r="J2" s="2" t="inlineStr">
        <is>
          <t>STATUS</t>
        </is>
      </c>
    </row>
    <row r="3">
      <c r="A3" s="52" t="n">
        <v>46283</v>
      </c>
      <c r="B3" s="4" t="inlineStr">
        <is>
          <t>Sexta</t>
        </is>
      </c>
      <c r="C3" s="4" t="n">
        <v>1</v>
      </c>
      <c r="D3" s="5" t="inlineStr">
        <is>
          <t>LÍNGUA PORTUGUESA</t>
        </is>
      </c>
      <c r="E3" s="6" t="inlineStr">
        <is>
          <t>ESTUDO</t>
        </is>
      </c>
      <c r="F3" s="5" t="inlineStr">
        <is>
          <t>Interpretação de texto, tipologia e gêneros textuais</t>
        </is>
      </c>
      <c r="G3" s="6" t="n">
        <v>120</v>
      </c>
      <c r="H3" s="6" t="n"/>
      <c r="I3" s="6" t="n"/>
      <c r="J3" s="35" t="inlineStr">
        <is>
          <t>A FAZER</t>
        </is>
      </c>
    </row>
    <row r="4">
      <c r="A4" s="53" t="n">
        <v>46284</v>
      </c>
      <c r="B4" s="6" t="inlineStr">
        <is>
          <t>Sábado</t>
        </is>
      </c>
      <c r="C4" s="6" t="n">
        <v>2</v>
      </c>
      <c r="D4" s="5" t="inlineStr">
        <is>
          <t>DIREITO CONSTITUCIONAL</t>
        </is>
      </c>
      <c r="E4" s="6" t="inlineStr">
        <is>
          <t>ESTUDO</t>
        </is>
      </c>
      <c r="F4" s="5" t="inlineStr">
        <is>
          <t>Constitucionalismo, conceito e classificação das Constituições</t>
        </is>
      </c>
      <c r="G4" s="6" t="n">
        <v>120</v>
      </c>
      <c r="H4" s="6" t="n"/>
      <c r="I4" s="6" t="n"/>
      <c r="J4" s="35" t="inlineStr">
        <is>
          <t>A FAZER</t>
        </is>
      </c>
    </row>
    <row r="5">
      <c r="A5" s="53" t="n">
        <v>46284</v>
      </c>
      <c r="B5" s="6" t="inlineStr">
        <is>
          <t>Sábado</t>
        </is>
      </c>
      <c r="C5" s="6" t="n">
        <v>3</v>
      </c>
      <c r="D5" s="5" t="inlineStr">
        <is>
          <t>DIREITO ADMINISTRATIVO</t>
        </is>
      </c>
      <c r="E5" s="6" t="inlineStr">
        <is>
          <t>ESTUDO</t>
        </is>
      </c>
      <c r="F5" s="5" t="inlineStr">
        <is>
          <t>Princípios e Poderes Administrativos</t>
        </is>
      </c>
      <c r="G5" s="6" t="n">
        <v>120</v>
      </c>
      <c r="H5" s="6" t="n"/>
      <c r="I5" s="6" t="n"/>
      <c r="J5" s="35" t="inlineStr">
        <is>
          <t>A FAZER</t>
        </is>
      </c>
    </row>
    <row r="6">
      <c r="A6" s="53" t="n">
        <v>46284</v>
      </c>
      <c r="B6" s="6" t="inlineStr">
        <is>
          <t>Sábado</t>
        </is>
      </c>
      <c r="C6" s="6" t="n">
        <v>4</v>
      </c>
      <c r="D6" s="8" t="inlineStr">
        <is>
          <t>LÍNGUA PORTUGUESA</t>
        </is>
      </c>
      <c r="E6" s="9" t="inlineStr">
        <is>
          <t>REVISÃO 24H</t>
        </is>
      </c>
      <c r="F6" s="8" t="inlineStr">
        <is>
          <t>Interpretação de texto, tipologia e gêneros textuais</t>
        </is>
      </c>
      <c r="G6" s="9" t="inlineStr"/>
      <c r="H6" s="9" t="n"/>
      <c r="I6" s="9" t="n"/>
      <c r="J6" s="35" t="inlineStr">
        <is>
          <t>A FAZER</t>
        </is>
      </c>
    </row>
    <row r="7">
      <c r="A7" s="52" t="n">
        <v>46285</v>
      </c>
      <c r="B7" s="4" t="inlineStr">
        <is>
          <t>Domingo</t>
        </is>
      </c>
      <c r="C7" s="4" t="n">
        <v>5</v>
      </c>
      <c r="D7" s="5" t="inlineStr">
        <is>
          <t>LEGISLAÇÃO INSTITUCIONAL MP</t>
        </is>
      </c>
      <c r="E7" s="6" t="inlineStr">
        <is>
          <t>ESTUDO</t>
        </is>
      </c>
      <c r="F7" s="5" t="inlineStr">
        <is>
          <t>Lei Orgânica Nacional do MP (Lei 8.625/93)</t>
        </is>
      </c>
      <c r="G7" s="6" t="n">
        <v>120</v>
      </c>
      <c r="H7" s="6" t="n"/>
      <c r="I7" s="6" t="n"/>
      <c r="J7" s="35" t="inlineStr">
        <is>
          <t>A FAZER</t>
        </is>
      </c>
    </row>
    <row r="8">
      <c r="A8" s="52" t="n">
        <v>46285</v>
      </c>
      <c r="B8" s="4" t="inlineStr">
        <is>
          <t>Domingo</t>
        </is>
      </c>
      <c r="C8" s="4" t="n">
        <v>6</v>
      </c>
      <c r="D8" s="10" t="inlineStr">
        <is>
          <t>ENGENHARIA DE SOFTWARE</t>
        </is>
      </c>
      <c r="E8" s="11" t="inlineStr">
        <is>
          <t>SIMULADO</t>
        </is>
      </c>
      <c r="F8" s="10" t="inlineStr">
        <is>
          <t>Simulado misto (questões de todas as matérias da semana)</t>
        </is>
      </c>
      <c r="G8" s="11" t="n">
        <v>120</v>
      </c>
      <c r="H8" s="11" t="n"/>
      <c r="I8" s="11" t="n"/>
      <c r="J8" s="35" t="inlineStr">
        <is>
          <t>A FAZER</t>
        </is>
      </c>
    </row>
    <row r="9">
      <c r="A9" s="52" t="n">
        <v>46285</v>
      </c>
      <c r="B9" s="4" t="inlineStr">
        <is>
          <t>Domingo</t>
        </is>
      </c>
      <c r="C9" s="4" t="n">
        <v>7</v>
      </c>
      <c r="D9" s="8" t="inlineStr">
        <is>
          <t>DIREITO CONSTITUCIONAL</t>
        </is>
      </c>
      <c r="E9" s="9" t="inlineStr">
        <is>
          <t>REVISÃO 24H</t>
        </is>
      </c>
      <c r="F9" s="8" t="inlineStr">
        <is>
          <t>Constitucionalismo, conceito e classificação das Constituições</t>
        </is>
      </c>
      <c r="G9" s="9" t="inlineStr"/>
      <c r="H9" s="9" t="n"/>
      <c r="I9" s="9" t="n"/>
      <c r="J9" s="35" t="inlineStr">
        <is>
          <t>A FAZER</t>
        </is>
      </c>
    </row>
    <row r="10">
      <c r="A10" s="52" t="n">
        <v>46285</v>
      </c>
      <c r="B10" s="4" t="inlineStr">
        <is>
          <t>Domingo</t>
        </is>
      </c>
      <c r="C10" s="4" t="n">
        <v>8</v>
      </c>
      <c r="D10" s="8" t="inlineStr">
        <is>
          <t>DIREITO ADMINISTRATIVO</t>
        </is>
      </c>
      <c r="E10" s="9" t="inlineStr">
        <is>
          <t>REVISÃO 24H</t>
        </is>
      </c>
      <c r="F10" s="8" t="inlineStr">
        <is>
          <t>Princípios e Poderes Administrativos</t>
        </is>
      </c>
      <c r="G10" s="9" t="inlineStr"/>
      <c r="H10" s="9" t="n"/>
      <c r="I10" s="9" t="n"/>
      <c r="J10" s="35" t="inlineStr">
        <is>
          <t>A FAZER</t>
        </is>
      </c>
    </row>
    <row r="11">
      <c r="A11" s="53" t="n">
        <v>46286</v>
      </c>
      <c r="B11" s="6" t="inlineStr">
        <is>
          <t>Segunda</t>
        </is>
      </c>
      <c r="C11" s="6" t="n">
        <v>9</v>
      </c>
      <c r="D11" s="5" t="inlineStr">
        <is>
          <t>ARQUITETURA DE SOFTWARE</t>
        </is>
      </c>
      <c r="E11" s="6" t="inlineStr">
        <is>
          <t>ESTUDO</t>
        </is>
      </c>
      <c r="F11" s="5" t="inlineStr">
        <is>
          <t>Padrão MVC; Microsserviços; Arquitetura orientada a eventos</t>
        </is>
      </c>
      <c r="G11" s="6" t="n">
        <v>120</v>
      </c>
      <c r="H11" s="6" t="n"/>
      <c r="I11" s="6" t="n"/>
      <c r="J11" s="35" t="inlineStr">
        <is>
          <t>A FAZER</t>
        </is>
      </c>
    </row>
    <row r="12">
      <c r="A12" s="53" t="n">
        <v>46286</v>
      </c>
      <c r="B12" s="6" t="inlineStr">
        <is>
          <t>Segunda</t>
        </is>
      </c>
      <c r="C12" s="6" t="n">
        <v>10</v>
      </c>
      <c r="D12" s="8" t="inlineStr">
        <is>
          <t>LEGISLAÇÃO INSTITUCIONAL MP</t>
        </is>
      </c>
      <c r="E12" s="9" t="inlineStr">
        <is>
          <t>REVISÃO 24H</t>
        </is>
      </c>
      <c r="F12" s="8" t="inlineStr">
        <is>
          <t>Lei Orgânica Nacional do MP (Lei 8.625/93)</t>
        </is>
      </c>
      <c r="G12" s="9" t="inlineStr"/>
      <c r="H12" s="9" t="n"/>
      <c r="I12" s="9" t="n"/>
      <c r="J12" s="35" t="inlineStr">
        <is>
          <t>A FAZER</t>
        </is>
      </c>
    </row>
    <row r="13">
      <c r="A13" s="52" t="n">
        <v>46287</v>
      </c>
      <c r="B13" s="4" t="inlineStr">
        <is>
          <t>Terça</t>
        </is>
      </c>
      <c r="C13" s="4" t="n">
        <v>11</v>
      </c>
      <c r="D13" s="5" t="inlineStr">
        <is>
          <t>LINGUAGENS DE PROGRAMAÇÃO</t>
        </is>
      </c>
      <c r="E13" s="6" t="inlineStr">
        <is>
          <t>ESTUDO</t>
        </is>
      </c>
      <c r="F13" s="5" t="inlineStr">
        <is>
          <t>Orientação a Objetos: pilares e características estruturais</t>
        </is>
      </c>
      <c r="G13" s="6" t="n">
        <v>120</v>
      </c>
      <c r="H13" s="6" t="n"/>
      <c r="I13" s="6" t="n"/>
      <c r="J13" s="35" t="inlineStr">
        <is>
          <t>A FAZER</t>
        </is>
      </c>
    </row>
    <row r="14">
      <c r="A14" s="52" t="n">
        <v>46287</v>
      </c>
      <c r="B14" s="4" t="inlineStr">
        <is>
          <t>Terça</t>
        </is>
      </c>
      <c r="C14" s="4" t="n">
        <v>12</v>
      </c>
      <c r="D14" s="8" t="inlineStr">
        <is>
          <t>ARQUITETURA DE SOFTWARE</t>
        </is>
      </c>
      <c r="E14" s="9" t="inlineStr">
        <is>
          <t>REVISÃO 24H</t>
        </is>
      </c>
      <c r="F14" s="8" t="inlineStr">
        <is>
          <t>Padrão MVC; Microsserviços; Arquitetura orientada a eventos</t>
        </is>
      </c>
      <c r="G14" s="9" t="inlineStr"/>
      <c r="H14" s="9" t="n"/>
      <c r="I14" s="9" t="n"/>
      <c r="J14" s="35" t="inlineStr">
        <is>
          <t>A FAZER</t>
        </is>
      </c>
    </row>
    <row r="15">
      <c r="A15" s="53" t="n">
        <v>46288</v>
      </c>
      <c r="B15" s="6" t="inlineStr">
        <is>
          <t>Quarta</t>
        </is>
      </c>
      <c r="C15" s="6" t="n">
        <v>13</v>
      </c>
      <c r="D15" s="5" t="inlineStr">
        <is>
          <t>QUALIDADE DE SOFTWARE</t>
        </is>
      </c>
      <c r="E15" s="6" t="inlineStr">
        <is>
          <t>ESTUDO</t>
        </is>
      </c>
      <c r="F15" s="5" t="inlineStr">
        <is>
          <t>Garantia da qualidade e métricas de código</t>
        </is>
      </c>
      <c r="G15" s="6" t="n">
        <v>120</v>
      </c>
      <c r="H15" s="6" t="n"/>
      <c r="I15" s="6" t="n"/>
      <c r="J15" s="35" t="inlineStr">
        <is>
          <t>A FAZER</t>
        </is>
      </c>
    </row>
    <row r="16">
      <c r="A16" s="53" t="n">
        <v>46288</v>
      </c>
      <c r="B16" s="6" t="inlineStr">
        <is>
          <t>Quarta</t>
        </is>
      </c>
      <c r="C16" s="6" t="n">
        <v>14</v>
      </c>
      <c r="D16" s="8" t="inlineStr">
        <is>
          <t>LINGUAGENS DE PROGRAMAÇÃO</t>
        </is>
      </c>
      <c r="E16" s="9" t="inlineStr">
        <is>
          <t>REVISÃO 24H</t>
        </is>
      </c>
      <c r="F16" s="8" t="inlineStr">
        <is>
          <t>Orientação a Objetos: pilares e características estruturais</t>
        </is>
      </c>
      <c r="G16" s="9" t="inlineStr"/>
      <c r="H16" s="9" t="n"/>
      <c r="I16" s="9" t="n"/>
      <c r="J16" s="35" t="inlineStr">
        <is>
          <t>A FAZER</t>
        </is>
      </c>
    </row>
    <row r="17">
      <c r="A17" s="52" t="n">
        <v>46289</v>
      </c>
      <c r="B17" s="4" t="inlineStr">
        <is>
          <t>Quinta</t>
        </is>
      </c>
      <c r="C17" s="4" t="n">
        <v>15</v>
      </c>
      <c r="D17" s="5" t="inlineStr">
        <is>
          <t>ESTRUTURA DE DADOS E ALGORITMOS</t>
        </is>
      </c>
      <c r="E17" s="6" t="inlineStr">
        <is>
          <t>ESTUDO</t>
        </is>
      </c>
      <c r="F17" s="5" t="inlineStr">
        <is>
          <t>Tipos básicos e abstratos de dados (lista, fila, pilha, árvore)</t>
        </is>
      </c>
      <c r="G17" s="6" t="n">
        <v>120</v>
      </c>
      <c r="H17" s="6" t="n"/>
      <c r="I17" s="6" t="n"/>
      <c r="J17" s="35" t="inlineStr">
        <is>
          <t>A FAZER</t>
        </is>
      </c>
    </row>
    <row r="18">
      <c r="A18" s="52" t="n">
        <v>46289</v>
      </c>
      <c r="B18" s="4" t="inlineStr">
        <is>
          <t>Quinta</t>
        </is>
      </c>
      <c r="C18" s="4" t="n">
        <v>16</v>
      </c>
      <c r="D18" s="8" t="inlineStr">
        <is>
          <t>QUALIDADE DE SOFTWARE</t>
        </is>
      </c>
      <c r="E18" s="9" t="inlineStr">
        <is>
          <t>REVISÃO 24H</t>
        </is>
      </c>
      <c r="F18" s="8" t="inlineStr">
        <is>
          <t>Garantia da qualidade e métricas de código</t>
        </is>
      </c>
      <c r="G18" s="9" t="inlineStr"/>
      <c r="H18" s="9" t="n"/>
      <c r="I18" s="9" t="n"/>
      <c r="J18" s="35" t="inlineStr">
        <is>
          <t>A FAZER</t>
        </is>
      </c>
    </row>
    <row r="19">
      <c r="A19" s="53" t="n">
        <v>46290</v>
      </c>
      <c r="B19" s="6" t="inlineStr">
        <is>
          <t>Sexta</t>
        </is>
      </c>
      <c r="C19" s="6" t="n">
        <v>17</v>
      </c>
      <c r="D19" s="5" t="inlineStr">
        <is>
          <t>ARQUITETURA / BANCO DE DADOS</t>
        </is>
      </c>
      <c r="E19" s="6" t="inlineStr">
        <is>
          <t>ESTUDO</t>
        </is>
      </c>
      <c r="F19" s="5" t="inlineStr">
        <is>
          <t>Modelagem de dados: conceitual, lógica e física</t>
        </is>
      </c>
      <c r="G19" s="6" t="n">
        <v>120</v>
      </c>
      <c r="H19" s="6" t="n"/>
      <c r="I19" s="6" t="n"/>
      <c r="J19" s="35" t="inlineStr">
        <is>
          <t>A FAZER</t>
        </is>
      </c>
    </row>
    <row r="20">
      <c r="A20" s="53" t="n">
        <v>46290</v>
      </c>
      <c r="B20" s="6" t="inlineStr">
        <is>
          <t>Sexta</t>
        </is>
      </c>
      <c r="C20" s="6" t="n">
        <v>18</v>
      </c>
      <c r="D20" s="12" t="inlineStr">
        <is>
          <t>LÍNGUA PORTUGUESA</t>
        </is>
      </c>
      <c r="E20" s="13" t="inlineStr">
        <is>
          <t>REVISÃO 7 DIAS</t>
        </is>
      </c>
      <c r="F20" s="12" t="inlineStr">
        <is>
          <t>Interpretação de texto, tipologia e gêneros textuais</t>
        </is>
      </c>
      <c r="G20" s="13" t="inlineStr"/>
      <c r="H20" s="13" t="n"/>
      <c r="I20" s="13" t="n"/>
      <c r="J20" s="35" t="inlineStr">
        <is>
          <t>A FAZER</t>
        </is>
      </c>
    </row>
    <row r="21">
      <c r="A21" s="53" t="n">
        <v>46290</v>
      </c>
      <c r="B21" s="6" t="inlineStr">
        <is>
          <t>Sexta</t>
        </is>
      </c>
      <c r="C21" s="6" t="n">
        <v>19</v>
      </c>
      <c r="D21" s="8" t="inlineStr">
        <is>
          <t>ESTRUTURA DE DADOS E ALGORITMOS</t>
        </is>
      </c>
      <c r="E21" s="9" t="inlineStr">
        <is>
          <t>REVISÃO 24H</t>
        </is>
      </c>
      <c r="F21" s="8" t="inlineStr">
        <is>
          <t>Tipos básicos e abstratos de dados (lista, fila, pilha, árvore)</t>
        </is>
      </c>
      <c r="G21" s="9" t="inlineStr"/>
      <c r="H21" s="9" t="n"/>
      <c r="I21" s="9" t="n"/>
      <c r="J21" s="35" t="inlineStr">
        <is>
          <t>A FAZER</t>
        </is>
      </c>
    </row>
    <row r="22">
      <c r="A22" s="52" t="n">
        <v>46291</v>
      </c>
      <c r="B22" s="4" t="inlineStr">
        <is>
          <t>Sábado</t>
        </is>
      </c>
      <c r="C22" s="4" t="n">
        <v>20</v>
      </c>
      <c r="D22" s="5" t="inlineStr">
        <is>
          <t>SEGURANÇA DA INFORMAÇÃO</t>
        </is>
      </c>
      <c r="E22" s="6" t="inlineStr">
        <is>
          <t>ESTUDO</t>
        </is>
      </c>
      <c r="F22" s="5" t="inlineStr">
        <is>
          <t>Desenvolvimento seguro: SAST / DAST / IAST</t>
        </is>
      </c>
      <c r="G22" s="6" t="n">
        <v>120</v>
      </c>
      <c r="H22" s="6" t="n"/>
      <c r="I22" s="6" t="n"/>
      <c r="J22" s="35" t="inlineStr">
        <is>
          <t>A FAZER</t>
        </is>
      </c>
    </row>
    <row r="23">
      <c r="A23" s="52" t="n">
        <v>46291</v>
      </c>
      <c r="B23" s="4" t="inlineStr">
        <is>
          <t>Sábado</t>
        </is>
      </c>
      <c r="C23" s="4" t="n">
        <v>21</v>
      </c>
      <c r="D23" s="5" t="inlineStr">
        <is>
          <t>ENGENHARIA DE SOFTWARE</t>
        </is>
      </c>
      <c r="E23" s="6" t="inlineStr">
        <is>
          <t>ESTUDO</t>
        </is>
      </c>
      <c r="F23" s="5" t="inlineStr">
        <is>
          <t>Ciclo de vida e metodologias de desenvolvimento (cascata, ágil)</t>
        </is>
      </c>
      <c r="G23" s="6" t="n">
        <v>120</v>
      </c>
      <c r="H23" s="6" t="n"/>
      <c r="I23" s="6" t="n"/>
      <c r="J23" s="35" t="inlineStr">
        <is>
          <t>A FAZER</t>
        </is>
      </c>
    </row>
    <row r="24">
      <c r="A24" s="52" t="n">
        <v>46291</v>
      </c>
      <c r="B24" s="4" t="inlineStr">
        <is>
          <t>Sábado</t>
        </is>
      </c>
      <c r="C24" s="4" t="n">
        <v>22</v>
      </c>
      <c r="D24" s="12" t="inlineStr">
        <is>
          <t>DIREITO CONSTITUCIONAL</t>
        </is>
      </c>
      <c r="E24" s="13" t="inlineStr">
        <is>
          <t>REVISÃO 7 DIAS</t>
        </is>
      </c>
      <c r="F24" s="12" t="inlineStr">
        <is>
          <t>Constitucionalismo, conceito e classificação das Constituições</t>
        </is>
      </c>
      <c r="G24" s="13" t="inlineStr"/>
      <c r="H24" s="13" t="n"/>
      <c r="I24" s="13" t="n"/>
      <c r="J24" s="35" t="inlineStr">
        <is>
          <t>A FAZER</t>
        </is>
      </c>
    </row>
    <row r="25">
      <c r="A25" s="52" t="n">
        <v>46291</v>
      </c>
      <c r="B25" s="4" t="inlineStr">
        <is>
          <t>Sábado</t>
        </is>
      </c>
      <c r="C25" s="4" t="n">
        <v>23</v>
      </c>
      <c r="D25" s="12" t="inlineStr">
        <is>
          <t>DIREITO ADMINISTRATIVO</t>
        </is>
      </c>
      <c r="E25" s="13" t="inlineStr">
        <is>
          <t>REVISÃO 7 DIAS</t>
        </is>
      </c>
      <c r="F25" s="12" t="inlineStr">
        <is>
          <t>Princípios e Poderes Administrativos</t>
        </is>
      </c>
      <c r="G25" s="13" t="inlineStr"/>
      <c r="H25" s="13" t="n"/>
      <c r="I25" s="13" t="n"/>
      <c r="J25" s="35" t="inlineStr">
        <is>
          <t>A FAZER</t>
        </is>
      </c>
    </row>
    <row r="26">
      <c r="A26" s="52" t="n">
        <v>46291</v>
      </c>
      <c r="B26" s="4" t="inlineStr">
        <is>
          <t>Sábado</t>
        </is>
      </c>
      <c r="C26" s="4" t="n">
        <v>24</v>
      </c>
      <c r="D26" s="8" t="inlineStr">
        <is>
          <t>ARQUITETURA / BANCO DE DADOS</t>
        </is>
      </c>
      <c r="E26" s="9" t="inlineStr">
        <is>
          <t>REVISÃO 24H</t>
        </is>
      </c>
      <c r="F26" s="8" t="inlineStr">
        <is>
          <t>Modelagem de dados: conceitual, lógica e física</t>
        </is>
      </c>
      <c r="G26" s="9" t="inlineStr"/>
      <c r="H26" s="9" t="n"/>
      <c r="I26" s="9" t="n"/>
      <c r="J26" s="35" t="inlineStr">
        <is>
          <t>A FAZER</t>
        </is>
      </c>
    </row>
    <row r="27">
      <c r="A27" s="53" t="n">
        <v>46292</v>
      </c>
      <c r="B27" s="6" t="inlineStr">
        <is>
          <t>Domingo</t>
        </is>
      </c>
      <c r="C27" s="6" t="n">
        <v>25</v>
      </c>
      <c r="D27" s="5" t="inlineStr">
        <is>
          <t>ARQUITETURA DE SOFTWARE</t>
        </is>
      </c>
      <c r="E27" s="6" t="inlineStr">
        <is>
          <t>ESTUDO</t>
        </is>
      </c>
      <c r="F27" s="5" t="inlineStr">
        <is>
          <t>Arquitetura Orientada a Serviços (SOA) e interoperabilidade</t>
        </is>
      </c>
      <c r="G27" s="6" t="n">
        <v>120</v>
      </c>
      <c r="H27" s="6" t="n"/>
      <c r="I27" s="6" t="n"/>
      <c r="J27" s="35" t="inlineStr">
        <is>
          <t>A FAZER</t>
        </is>
      </c>
    </row>
    <row r="28">
      <c r="A28" s="53" t="n">
        <v>46292</v>
      </c>
      <c r="B28" s="6" t="inlineStr">
        <is>
          <t>Domingo</t>
        </is>
      </c>
      <c r="C28" s="6" t="n">
        <v>26</v>
      </c>
      <c r="D28" s="10" t="inlineStr">
        <is>
          <t>LINGUAGENS DE PROGRAMAÇÃO</t>
        </is>
      </c>
      <c r="E28" s="11" t="inlineStr">
        <is>
          <t>SIMULADO</t>
        </is>
      </c>
      <c r="F28" s="10" t="inlineStr">
        <is>
          <t>Simulado misto (questões de todas as matérias da semana)</t>
        </is>
      </c>
      <c r="G28" s="11" t="n">
        <v>120</v>
      </c>
      <c r="H28" s="11" t="n"/>
      <c r="I28" s="11" t="n"/>
      <c r="J28" s="35" t="inlineStr">
        <is>
          <t>A FAZER</t>
        </is>
      </c>
    </row>
    <row r="29">
      <c r="A29" s="53" t="n">
        <v>46292</v>
      </c>
      <c r="B29" s="6" t="inlineStr">
        <is>
          <t>Domingo</t>
        </is>
      </c>
      <c r="C29" s="6" t="n">
        <v>27</v>
      </c>
      <c r="D29" s="12" t="inlineStr">
        <is>
          <t>LEGISLAÇÃO INSTITUCIONAL MP</t>
        </is>
      </c>
      <c r="E29" s="13" t="inlineStr">
        <is>
          <t>REVISÃO 7 DIAS</t>
        </is>
      </c>
      <c r="F29" s="12" t="inlineStr">
        <is>
          <t>Lei Orgânica Nacional do MP (Lei 8.625/93)</t>
        </is>
      </c>
      <c r="G29" s="13" t="inlineStr"/>
      <c r="H29" s="13" t="n"/>
      <c r="I29" s="13" t="n"/>
      <c r="J29" s="35" t="inlineStr">
        <is>
          <t>A FAZER</t>
        </is>
      </c>
    </row>
    <row r="30">
      <c r="A30" s="53" t="n">
        <v>46292</v>
      </c>
      <c r="B30" s="6" t="inlineStr">
        <is>
          <t>Domingo</t>
        </is>
      </c>
      <c r="C30" s="6" t="n">
        <v>28</v>
      </c>
      <c r="D30" s="8" t="inlineStr">
        <is>
          <t>SEGURANÇA DA INFORMAÇÃO</t>
        </is>
      </c>
      <c r="E30" s="9" t="inlineStr">
        <is>
          <t>REVISÃO 24H</t>
        </is>
      </c>
      <c r="F30" s="8" t="inlineStr">
        <is>
          <t>Desenvolvimento seguro: SAST / DAST / IAST</t>
        </is>
      </c>
      <c r="G30" s="9" t="inlineStr"/>
      <c r="H30" s="9" t="n"/>
      <c r="I30" s="9" t="n"/>
      <c r="J30" s="35" t="inlineStr">
        <is>
          <t>A FAZER</t>
        </is>
      </c>
    </row>
    <row r="31">
      <c r="A31" s="53" t="n">
        <v>46292</v>
      </c>
      <c r="B31" s="6" t="inlineStr">
        <is>
          <t>Domingo</t>
        </is>
      </c>
      <c r="C31" s="6" t="n">
        <v>29</v>
      </c>
      <c r="D31" s="8" t="inlineStr">
        <is>
          <t>ENGENHARIA DE SOFTWARE</t>
        </is>
      </c>
      <c r="E31" s="9" t="inlineStr">
        <is>
          <t>REVISÃO 24H</t>
        </is>
      </c>
      <c r="F31" s="8" t="inlineStr">
        <is>
          <t>Ciclo de vida e metodologias de desenvolvimento (cascata, ágil)</t>
        </is>
      </c>
      <c r="G31" s="9" t="inlineStr"/>
      <c r="H31" s="9" t="n"/>
      <c r="I31" s="9" t="n"/>
      <c r="J31" s="35" t="inlineStr">
        <is>
          <t>A FAZER</t>
        </is>
      </c>
    </row>
    <row r="32">
      <c r="A32" s="52" t="n">
        <v>46293</v>
      </c>
      <c r="B32" s="4" t="inlineStr">
        <is>
          <t>Segunda</t>
        </is>
      </c>
      <c r="C32" s="4" t="n">
        <v>30</v>
      </c>
      <c r="D32" s="5" t="inlineStr">
        <is>
          <t>ESTRUTURA DE DADOS E ALGORITMOS</t>
        </is>
      </c>
      <c r="E32" s="6" t="inlineStr">
        <is>
          <t>ESTUDO</t>
        </is>
      </c>
      <c r="F32" s="5" t="inlineStr">
        <is>
          <t>Sub-rotinas: chamada por endereço, referência e valor</t>
        </is>
      </c>
      <c r="G32" s="6" t="n">
        <v>120</v>
      </c>
      <c r="H32" s="6" t="n"/>
      <c r="I32" s="6" t="n"/>
      <c r="J32" s="35" t="inlineStr">
        <is>
          <t>A FAZER</t>
        </is>
      </c>
    </row>
    <row r="33">
      <c r="A33" s="52" t="n">
        <v>46293</v>
      </c>
      <c r="B33" s="4" t="inlineStr">
        <is>
          <t>Segunda</t>
        </is>
      </c>
      <c r="C33" s="4" t="n">
        <v>31</v>
      </c>
      <c r="D33" s="12" t="inlineStr">
        <is>
          <t>ARQUITETURA DE SOFTWARE</t>
        </is>
      </c>
      <c r="E33" s="13" t="inlineStr">
        <is>
          <t>REVISÃO 7 DIAS</t>
        </is>
      </c>
      <c r="F33" s="12" t="inlineStr">
        <is>
          <t>Padrão MVC; Microsserviços; Arquitetura orientada a eventos</t>
        </is>
      </c>
      <c r="G33" s="13" t="inlineStr"/>
      <c r="H33" s="13" t="n"/>
      <c r="I33" s="13" t="n"/>
      <c r="J33" s="35" t="inlineStr">
        <is>
          <t>A FAZER</t>
        </is>
      </c>
    </row>
    <row r="34">
      <c r="A34" s="52" t="n">
        <v>46293</v>
      </c>
      <c r="B34" s="4" t="inlineStr">
        <is>
          <t>Segunda</t>
        </is>
      </c>
      <c r="C34" s="4" t="n">
        <v>32</v>
      </c>
      <c r="D34" s="8" t="inlineStr">
        <is>
          <t>ARQUITETURA DE SOFTWARE</t>
        </is>
      </c>
      <c r="E34" s="9" t="inlineStr">
        <is>
          <t>REVISÃO 24H</t>
        </is>
      </c>
      <c r="F34" s="8" t="inlineStr">
        <is>
          <t>Arquitetura Orientada a Serviços (SOA) e interoperabilidade</t>
        </is>
      </c>
      <c r="G34" s="9" t="inlineStr"/>
      <c r="H34" s="9" t="n"/>
      <c r="I34" s="9" t="n"/>
      <c r="J34" s="35" t="inlineStr">
        <is>
          <t>A FAZER</t>
        </is>
      </c>
    </row>
    <row r="35">
      <c r="A35" s="53" t="n">
        <v>46294</v>
      </c>
      <c r="B35" s="6" t="inlineStr">
        <is>
          <t>Terça</t>
        </is>
      </c>
      <c r="C35" s="6" t="n">
        <v>33</v>
      </c>
      <c r="D35" s="5" t="inlineStr">
        <is>
          <t>ARQUITETURA / BANCO DE DADOS</t>
        </is>
      </c>
      <c r="E35" s="6" t="inlineStr">
        <is>
          <t>ESTUDO</t>
        </is>
      </c>
      <c r="F35" s="5" t="inlineStr">
        <is>
          <t>Normalização, integridade referencial e metadados</t>
        </is>
      </c>
      <c r="G35" s="6" t="n">
        <v>120</v>
      </c>
      <c r="H35" s="6" t="n"/>
      <c r="I35" s="6" t="n"/>
      <c r="J35" s="35" t="inlineStr">
        <is>
          <t>A FAZER</t>
        </is>
      </c>
    </row>
    <row r="36">
      <c r="A36" s="53" t="n">
        <v>46294</v>
      </c>
      <c r="B36" s="6" t="inlineStr">
        <is>
          <t>Terça</t>
        </is>
      </c>
      <c r="C36" s="6" t="n">
        <v>34</v>
      </c>
      <c r="D36" s="12" t="inlineStr">
        <is>
          <t>LINGUAGENS DE PROGRAMAÇÃO</t>
        </is>
      </c>
      <c r="E36" s="13" t="inlineStr">
        <is>
          <t>REVISÃO 7 DIAS</t>
        </is>
      </c>
      <c r="F36" s="12" t="inlineStr">
        <is>
          <t>Orientação a Objetos: pilares e características estruturais</t>
        </is>
      </c>
      <c r="G36" s="13" t="inlineStr"/>
      <c r="H36" s="13" t="n"/>
      <c r="I36" s="13" t="n"/>
      <c r="J36" s="35" t="inlineStr">
        <is>
          <t>A FAZER</t>
        </is>
      </c>
    </row>
    <row r="37">
      <c r="A37" s="53" t="n">
        <v>46294</v>
      </c>
      <c r="B37" s="6" t="inlineStr">
        <is>
          <t>Terça</t>
        </is>
      </c>
      <c r="C37" s="6" t="n">
        <v>35</v>
      </c>
      <c r="D37" s="8" t="inlineStr">
        <is>
          <t>ESTRUTURA DE DADOS E ALGORITMOS</t>
        </is>
      </c>
      <c r="E37" s="9" t="inlineStr">
        <is>
          <t>REVISÃO 24H</t>
        </is>
      </c>
      <c r="F37" s="8" t="inlineStr">
        <is>
          <t>Sub-rotinas: chamada por endereço, referência e valor</t>
        </is>
      </c>
      <c r="G37" s="9" t="inlineStr"/>
      <c r="H37" s="9" t="n"/>
      <c r="I37" s="9" t="n"/>
      <c r="J37" s="35" t="inlineStr">
        <is>
          <t>A FAZER</t>
        </is>
      </c>
    </row>
    <row r="38">
      <c r="A38" s="52" t="n">
        <v>46295</v>
      </c>
      <c r="B38" s="4" t="inlineStr">
        <is>
          <t>Quarta</t>
        </is>
      </c>
      <c r="C38" s="4" t="n">
        <v>36</v>
      </c>
      <c r="D38" s="5" t="inlineStr">
        <is>
          <t>LÍNGUA PORTUGUESA</t>
        </is>
      </c>
      <c r="E38" s="6" t="inlineStr">
        <is>
          <t>ESTUDO</t>
        </is>
      </c>
      <c r="F38" s="5" t="inlineStr">
        <is>
          <t>Ortografia, acentuação e uso da crase</t>
        </is>
      </c>
      <c r="G38" s="6" t="n">
        <v>120</v>
      </c>
      <c r="H38" s="6" t="n"/>
      <c r="I38" s="6" t="n"/>
      <c r="J38" s="35" t="inlineStr">
        <is>
          <t>A FAZER</t>
        </is>
      </c>
    </row>
    <row r="39">
      <c r="A39" s="52" t="n">
        <v>46295</v>
      </c>
      <c r="B39" s="4" t="inlineStr">
        <is>
          <t>Quarta</t>
        </is>
      </c>
      <c r="C39" s="4" t="n">
        <v>37</v>
      </c>
      <c r="D39" s="12" t="inlineStr">
        <is>
          <t>QUALIDADE DE SOFTWARE</t>
        </is>
      </c>
      <c r="E39" s="13" t="inlineStr">
        <is>
          <t>REVISÃO 7 DIAS</t>
        </is>
      </c>
      <c r="F39" s="12" t="inlineStr">
        <is>
          <t>Garantia da qualidade e métricas de código</t>
        </is>
      </c>
      <c r="G39" s="13" t="inlineStr"/>
      <c r="H39" s="13" t="n"/>
      <c r="I39" s="13" t="n"/>
      <c r="J39" s="35" t="inlineStr">
        <is>
          <t>A FAZER</t>
        </is>
      </c>
    </row>
    <row r="40">
      <c r="A40" s="52" t="n">
        <v>46295</v>
      </c>
      <c r="B40" s="4" t="inlineStr">
        <is>
          <t>Quarta</t>
        </is>
      </c>
      <c r="C40" s="4" t="n">
        <v>38</v>
      </c>
      <c r="D40" s="8" t="inlineStr">
        <is>
          <t>ARQUITETURA / BANCO DE DADOS</t>
        </is>
      </c>
      <c r="E40" s="9" t="inlineStr">
        <is>
          <t>REVISÃO 24H</t>
        </is>
      </c>
      <c r="F40" s="8" t="inlineStr">
        <is>
          <t>Normalização, integridade referencial e metadados</t>
        </is>
      </c>
      <c r="G40" s="9" t="inlineStr"/>
      <c r="H40" s="9" t="n"/>
      <c r="I40" s="9" t="n"/>
      <c r="J40" s="35" t="inlineStr">
        <is>
          <t>A FAZER</t>
        </is>
      </c>
    </row>
    <row r="41">
      <c r="A41" s="53" t="n">
        <v>46296</v>
      </c>
      <c r="B41" s="6" t="inlineStr">
        <is>
          <t>Quinta</t>
        </is>
      </c>
      <c r="C41" s="6" t="n">
        <v>39</v>
      </c>
      <c r="D41" s="5" t="inlineStr">
        <is>
          <t>DIREITO CONSTITUCIONAL</t>
        </is>
      </c>
      <c r="E41" s="6" t="inlineStr">
        <is>
          <t>ESTUDO</t>
        </is>
      </c>
      <c r="F41" s="5" t="inlineStr">
        <is>
          <t>Eficácia, aplicabilidade e interpretação das normas constitucionais</t>
        </is>
      </c>
      <c r="G41" s="6" t="n">
        <v>120</v>
      </c>
      <c r="H41" s="6" t="n"/>
      <c r="I41" s="6" t="n"/>
      <c r="J41" s="35" t="inlineStr">
        <is>
          <t>A FAZER</t>
        </is>
      </c>
    </row>
    <row r="42">
      <c r="A42" s="53" t="n">
        <v>46296</v>
      </c>
      <c r="B42" s="6" t="inlineStr">
        <is>
          <t>Quinta</t>
        </is>
      </c>
      <c r="C42" s="6" t="n">
        <v>40</v>
      </c>
      <c r="D42" s="12" t="inlineStr">
        <is>
          <t>ESTRUTURA DE DADOS E ALGORITMOS</t>
        </is>
      </c>
      <c r="E42" s="13" t="inlineStr">
        <is>
          <t>REVISÃO 7 DIAS</t>
        </is>
      </c>
      <c r="F42" s="12" t="inlineStr">
        <is>
          <t>Tipos básicos e abstratos de dados (lista, fila, pilha, árvore)</t>
        </is>
      </c>
      <c r="G42" s="13" t="inlineStr"/>
      <c r="H42" s="13" t="n"/>
      <c r="I42" s="13" t="n"/>
      <c r="J42" s="35" t="inlineStr">
        <is>
          <t>A FAZER</t>
        </is>
      </c>
    </row>
    <row r="43">
      <c r="A43" s="53" t="n">
        <v>46296</v>
      </c>
      <c r="B43" s="6" t="inlineStr">
        <is>
          <t>Quinta</t>
        </is>
      </c>
      <c r="C43" s="6" t="n">
        <v>41</v>
      </c>
      <c r="D43" s="8" t="inlineStr">
        <is>
          <t>LÍNGUA PORTUGUESA</t>
        </is>
      </c>
      <c r="E43" s="9" t="inlineStr">
        <is>
          <t>REVISÃO 24H</t>
        </is>
      </c>
      <c r="F43" s="8" t="inlineStr">
        <is>
          <t>Ortografia, acentuação e uso da crase</t>
        </is>
      </c>
      <c r="G43" s="9" t="inlineStr"/>
      <c r="H43" s="9" t="n"/>
      <c r="I43" s="9" t="n"/>
      <c r="J43" s="35" t="inlineStr">
        <is>
          <t>A FAZER</t>
        </is>
      </c>
    </row>
    <row r="44">
      <c r="A44" s="52" t="n">
        <v>46297</v>
      </c>
      <c r="B44" s="4" t="inlineStr">
        <is>
          <t>Sexta</t>
        </is>
      </c>
      <c r="C44" s="4" t="n">
        <v>42</v>
      </c>
      <c r="D44" s="5" t="inlineStr">
        <is>
          <t>DIREITO ADMINISTRATIVO</t>
        </is>
      </c>
      <c r="E44" s="6" t="inlineStr">
        <is>
          <t>ESTUDO</t>
        </is>
      </c>
      <c r="F44" s="5" t="inlineStr">
        <is>
          <t>Organização Administrativa e Atos Administrativos</t>
        </is>
      </c>
      <c r="G44" s="6" t="n">
        <v>120</v>
      </c>
      <c r="H44" s="6" t="n"/>
      <c r="I44" s="6" t="n"/>
      <c r="J44" s="35" t="inlineStr">
        <is>
          <t>A FAZER</t>
        </is>
      </c>
    </row>
    <row r="45">
      <c r="A45" s="52" t="n">
        <v>46297</v>
      </c>
      <c r="B45" s="4" t="inlineStr">
        <is>
          <t>Sexta</t>
        </is>
      </c>
      <c r="C45" s="4" t="n">
        <v>43</v>
      </c>
      <c r="D45" s="12" t="inlineStr">
        <is>
          <t>ARQUITETURA / BANCO DE DADOS</t>
        </is>
      </c>
      <c r="E45" s="13" t="inlineStr">
        <is>
          <t>REVISÃO 7 DIAS</t>
        </is>
      </c>
      <c r="F45" s="12" t="inlineStr">
        <is>
          <t>Modelagem de dados: conceitual, lógica e física</t>
        </is>
      </c>
      <c r="G45" s="13" t="inlineStr"/>
      <c r="H45" s="13" t="n"/>
      <c r="I45" s="13" t="n"/>
      <c r="J45" s="35" t="inlineStr">
        <is>
          <t>A FAZER</t>
        </is>
      </c>
    </row>
    <row r="46">
      <c r="A46" s="52" t="n">
        <v>46297</v>
      </c>
      <c r="B46" s="4" t="inlineStr">
        <is>
          <t>Sexta</t>
        </is>
      </c>
      <c r="C46" s="4" t="n">
        <v>44</v>
      </c>
      <c r="D46" s="8" t="inlineStr">
        <is>
          <t>DIREITO CONSTITUCIONAL</t>
        </is>
      </c>
      <c r="E46" s="9" t="inlineStr">
        <is>
          <t>REVISÃO 24H</t>
        </is>
      </c>
      <c r="F46" s="8" t="inlineStr">
        <is>
          <t>Eficácia, aplicabilidade e interpretação das normas constitucionais</t>
        </is>
      </c>
      <c r="G46" s="9" t="inlineStr"/>
      <c r="H46" s="9" t="n"/>
      <c r="I46" s="9" t="n"/>
      <c r="J46" s="35" t="inlineStr">
        <is>
          <t>A FAZER</t>
        </is>
      </c>
    </row>
    <row r="47">
      <c r="A47" s="53" t="n">
        <v>46298</v>
      </c>
      <c r="B47" s="6" t="inlineStr">
        <is>
          <t>Sábado</t>
        </is>
      </c>
      <c r="C47" s="6" t="n">
        <v>45</v>
      </c>
      <c r="D47" s="5" t="inlineStr">
        <is>
          <t>LEGISLAÇÃO INSTITUCIONAL MP</t>
        </is>
      </c>
      <c r="E47" s="6" t="inlineStr">
        <is>
          <t>ESTUDO</t>
        </is>
      </c>
      <c r="F47" s="5" t="inlineStr">
        <is>
          <t>Lei Orgânica do MPMS (LC Estadual 72/1994)</t>
        </is>
      </c>
      <c r="G47" s="6" t="n">
        <v>120</v>
      </c>
      <c r="H47" s="6" t="n"/>
      <c r="I47" s="6" t="n"/>
      <c r="J47" s="35" t="inlineStr">
        <is>
          <t>A FAZER</t>
        </is>
      </c>
    </row>
    <row r="48">
      <c r="A48" s="53" t="n">
        <v>46298</v>
      </c>
      <c r="B48" s="6" t="inlineStr">
        <is>
          <t>Sábado</t>
        </is>
      </c>
      <c r="C48" s="6" t="n">
        <v>46</v>
      </c>
      <c r="D48" s="5" t="inlineStr">
        <is>
          <t>ENGENHARIA DE SOFTWARE</t>
        </is>
      </c>
      <c r="E48" s="6" t="inlineStr">
        <is>
          <t>ESTUDO</t>
        </is>
      </c>
      <c r="F48" s="5" t="inlineStr">
        <is>
          <t>Processos interativo/incremental; práticas ágeis; TDD</t>
        </is>
      </c>
      <c r="G48" s="6" t="n">
        <v>120</v>
      </c>
      <c r="H48" s="6" t="n"/>
      <c r="I48" s="6" t="n"/>
      <c r="J48" s="35" t="inlineStr">
        <is>
          <t>A FAZER</t>
        </is>
      </c>
    </row>
    <row r="49">
      <c r="A49" s="53" t="n">
        <v>46298</v>
      </c>
      <c r="B49" s="6" t="inlineStr">
        <is>
          <t>Sábado</t>
        </is>
      </c>
      <c r="C49" s="6" t="n">
        <v>47</v>
      </c>
      <c r="D49" s="14" t="inlineStr">
        <is>
          <t>LÍNGUA PORTUGUESA</t>
        </is>
      </c>
      <c r="E49" s="15" t="inlineStr">
        <is>
          <t>REVISÃO 15 DIAS</t>
        </is>
      </c>
      <c r="F49" s="14" t="inlineStr">
        <is>
          <t>Interpretação de texto, tipologia e gêneros textuais</t>
        </is>
      </c>
      <c r="G49" s="15" t="inlineStr"/>
      <c r="H49" s="15" t="n"/>
      <c r="I49" s="15" t="n"/>
      <c r="J49" s="35" t="inlineStr">
        <is>
          <t>A FAZER</t>
        </is>
      </c>
    </row>
    <row r="50">
      <c r="A50" s="53" t="n">
        <v>46298</v>
      </c>
      <c r="B50" s="6" t="inlineStr">
        <is>
          <t>Sábado</t>
        </is>
      </c>
      <c r="C50" s="6" t="n">
        <v>48</v>
      </c>
      <c r="D50" s="12" t="inlineStr">
        <is>
          <t>SEGURANÇA DA INFORMAÇÃO</t>
        </is>
      </c>
      <c r="E50" s="13" t="inlineStr">
        <is>
          <t>REVISÃO 7 DIAS</t>
        </is>
      </c>
      <c r="F50" s="12" t="inlineStr">
        <is>
          <t>Desenvolvimento seguro: SAST / DAST / IAST</t>
        </is>
      </c>
      <c r="G50" s="13" t="inlineStr"/>
      <c r="H50" s="13" t="n"/>
      <c r="I50" s="13" t="n"/>
      <c r="J50" s="35" t="inlineStr">
        <is>
          <t>A FAZER</t>
        </is>
      </c>
    </row>
    <row r="51">
      <c r="A51" s="53" t="n">
        <v>46298</v>
      </c>
      <c r="B51" s="6" t="inlineStr">
        <is>
          <t>Sábado</t>
        </is>
      </c>
      <c r="C51" s="6" t="n">
        <v>49</v>
      </c>
      <c r="D51" s="12" t="inlineStr">
        <is>
          <t>ENGENHARIA DE SOFTWARE</t>
        </is>
      </c>
      <c r="E51" s="13" t="inlineStr">
        <is>
          <t>REVISÃO 7 DIAS</t>
        </is>
      </c>
      <c r="F51" s="12" t="inlineStr">
        <is>
          <t>Ciclo de vida e metodologias de desenvolvimento (cascata, ágil)</t>
        </is>
      </c>
      <c r="G51" s="13" t="inlineStr"/>
      <c r="H51" s="13" t="n"/>
      <c r="I51" s="13" t="n"/>
      <c r="J51" s="35" t="inlineStr">
        <is>
          <t>A FAZER</t>
        </is>
      </c>
    </row>
    <row r="52">
      <c r="A52" s="53" t="n">
        <v>46298</v>
      </c>
      <c r="B52" s="6" t="inlineStr">
        <is>
          <t>Sábado</t>
        </is>
      </c>
      <c r="C52" s="6" t="n">
        <v>50</v>
      </c>
      <c r="D52" s="8" t="inlineStr">
        <is>
          <t>DIREITO ADMINISTRATIVO</t>
        </is>
      </c>
      <c r="E52" s="9" t="inlineStr">
        <is>
          <t>REVISÃO 24H</t>
        </is>
      </c>
      <c r="F52" s="8" t="inlineStr">
        <is>
          <t>Organização Administrativa e Atos Administrativos</t>
        </is>
      </c>
      <c r="G52" s="9" t="inlineStr"/>
      <c r="H52" s="9" t="n"/>
      <c r="I52" s="9" t="n"/>
      <c r="J52" s="35" t="inlineStr">
        <is>
          <t>A FAZER</t>
        </is>
      </c>
    </row>
    <row r="53">
      <c r="A53" s="52" t="n">
        <v>46299</v>
      </c>
      <c r="B53" s="4" t="inlineStr">
        <is>
          <t>Domingo</t>
        </is>
      </c>
      <c r="C53" s="4" t="n">
        <v>51</v>
      </c>
      <c r="D53" s="5" t="inlineStr">
        <is>
          <t>ARQUITETURA DE SOFTWARE</t>
        </is>
      </c>
      <c r="E53" s="6" t="inlineStr">
        <is>
          <t>ESTUDO</t>
        </is>
      </c>
      <c r="F53" s="5" t="inlineStr">
        <is>
          <t>Padrões de projeto (design patterns) e anti-patterns</t>
        </is>
      </c>
      <c r="G53" s="6" t="n">
        <v>120</v>
      </c>
      <c r="H53" s="6" t="n"/>
      <c r="I53" s="6" t="n"/>
      <c r="J53" s="35" t="inlineStr">
        <is>
          <t>A FAZER</t>
        </is>
      </c>
    </row>
    <row r="54">
      <c r="A54" s="52" t="n">
        <v>46299</v>
      </c>
      <c r="B54" s="4" t="inlineStr">
        <is>
          <t>Domingo</t>
        </is>
      </c>
      <c r="C54" s="4" t="n">
        <v>52</v>
      </c>
      <c r="D54" s="10" t="inlineStr">
        <is>
          <t>LINGUAGENS DE PROGRAMAÇÃO</t>
        </is>
      </c>
      <c r="E54" s="11" t="inlineStr">
        <is>
          <t>SIMULADO</t>
        </is>
      </c>
      <c r="F54" s="10" t="inlineStr">
        <is>
          <t>Simulado misto (questões de todas as matérias da semana)</t>
        </is>
      </c>
      <c r="G54" s="11" t="n">
        <v>120</v>
      </c>
      <c r="H54" s="11" t="n"/>
      <c r="I54" s="11" t="n"/>
      <c r="J54" s="35" t="inlineStr">
        <is>
          <t>A FAZER</t>
        </is>
      </c>
    </row>
    <row r="55">
      <c r="A55" s="52" t="n">
        <v>46299</v>
      </c>
      <c r="B55" s="4" t="inlineStr">
        <is>
          <t>Domingo</t>
        </is>
      </c>
      <c r="C55" s="4" t="n">
        <v>53</v>
      </c>
      <c r="D55" s="14" t="inlineStr">
        <is>
          <t>DIREITO CONSTITUCIONAL</t>
        </is>
      </c>
      <c r="E55" s="15" t="inlineStr">
        <is>
          <t>REVISÃO 15 DIAS</t>
        </is>
      </c>
      <c r="F55" s="14" t="inlineStr">
        <is>
          <t>Constitucionalismo, conceito e classificação das Constituições</t>
        </is>
      </c>
      <c r="G55" s="15" t="inlineStr"/>
      <c r="H55" s="15" t="n"/>
      <c r="I55" s="15" t="n"/>
      <c r="J55" s="35" t="inlineStr">
        <is>
          <t>A FAZER</t>
        </is>
      </c>
    </row>
    <row r="56">
      <c r="A56" s="52" t="n">
        <v>46299</v>
      </c>
      <c r="B56" s="4" t="inlineStr">
        <is>
          <t>Domingo</t>
        </is>
      </c>
      <c r="C56" s="4" t="n">
        <v>54</v>
      </c>
      <c r="D56" s="14" t="inlineStr">
        <is>
          <t>DIREITO ADMINISTRATIVO</t>
        </is>
      </c>
      <c r="E56" s="15" t="inlineStr">
        <is>
          <t>REVISÃO 15 DIAS</t>
        </is>
      </c>
      <c r="F56" s="14" t="inlineStr">
        <is>
          <t>Princípios e Poderes Administrativos</t>
        </is>
      </c>
      <c r="G56" s="15" t="inlineStr"/>
      <c r="H56" s="15" t="n"/>
      <c r="I56" s="15" t="n"/>
      <c r="J56" s="35" t="inlineStr">
        <is>
          <t>A FAZER</t>
        </is>
      </c>
    </row>
    <row r="57">
      <c r="A57" s="52" t="n">
        <v>46299</v>
      </c>
      <c r="B57" s="4" t="inlineStr">
        <is>
          <t>Domingo</t>
        </is>
      </c>
      <c r="C57" s="4" t="n">
        <v>55</v>
      </c>
      <c r="D57" s="12" t="inlineStr">
        <is>
          <t>ARQUITETURA DE SOFTWARE</t>
        </is>
      </c>
      <c r="E57" s="13" t="inlineStr">
        <is>
          <t>REVISÃO 7 DIAS</t>
        </is>
      </c>
      <c r="F57" s="12" t="inlineStr">
        <is>
          <t>Arquitetura Orientada a Serviços (SOA) e interoperabilidade</t>
        </is>
      </c>
      <c r="G57" s="13" t="inlineStr"/>
      <c r="H57" s="13" t="n"/>
      <c r="I57" s="13" t="n"/>
      <c r="J57" s="35" t="inlineStr">
        <is>
          <t>A FAZER</t>
        </is>
      </c>
    </row>
    <row r="58">
      <c r="A58" s="52" t="n">
        <v>46299</v>
      </c>
      <c r="B58" s="4" t="inlineStr">
        <is>
          <t>Domingo</t>
        </is>
      </c>
      <c r="C58" s="4" t="n">
        <v>56</v>
      </c>
      <c r="D58" s="8" t="inlineStr">
        <is>
          <t>LEGISLAÇÃO INSTITUCIONAL MP</t>
        </is>
      </c>
      <c r="E58" s="9" t="inlineStr">
        <is>
          <t>REVISÃO 24H</t>
        </is>
      </c>
      <c r="F58" s="8" t="inlineStr">
        <is>
          <t>Lei Orgânica do MPMS (LC Estadual 72/1994)</t>
        </is>
      </c>
      <c r="G58" s="9" t="inlineStr"/>
      <c r="H58" s="9" t="n"/>
      <c r="I58" s="9" t="n"/>
      <c r="J58" s="35" t="inlineStr">
        <is>
          <t>A FAZER</t>
        </is>
      </c>
    </row>
    <row r="59">
      <c r="A59" s="52" t="n">
        <v>46299</v>
      </c>
      <c r="B59" s="4" t="inlineStr">
        <is>
          <t>Domingo</t>
        </is>
      </c>
      <c r="C59" s="4" t="n">
        <v>57</v>
      </c>
      <c r="D59" s="8" t="inlineStr">
        <is>
          <t>ENGENHARIA DE SOFTWARE</t>
        </is>
      </c>
      <c r="E59" s="9" t="inlineStr">
        <is>
          <t>REVISÃO 24H</t>
        </is>
      </c>
      <c r="F59" s="8" t="inlineStr">
        <is>
          <t>Processos interativo/incremental; práticas ágeis; TDD</t>
        </is>
      </c>
      <c r="G59" s="9" t="inlineStr"/>
      <c r="H59" s="9" t="n"/>
      <c r="I59" s="9" t="n"/>
      <c r="J59" s="35" t="inlineStr">
        <is>
          <t>A FAZER</t>
        </is>
      </c>
    </row>
    <row r="60">
      <c r="A60" s="53" t="n">
        <v>46300</v>
      </c>
      <c r="B60" s="6" t="inlineStr">
        <is>
          <t>Segunda</t>
        </is>
      </c>
      <c r="C60" s="6" t="n">
        <v>58</v>
      </c>
      <c r="D60" s="5" t="inlineStr">
        <is>
          <t>QUALIDADE DE SOFTWARE</t>
        </is>
      </c>
      <c r="E60" s="6" t="inlineStr">
        <is>
          <t>ESTUDO</t>
        </is>
      </c>
      <c r="F60" s="5" t="inlineStr">
        <is>
          <t>Testes: unitário, integração, funcional, aceitação</t>
        </is>
      </c>
      <c r="G60" s="6" t="n">
        <v>120</v>
      </c>
      <c r="H60" s="6" t="n"/>
      <c r="I60" s="6" t="n"/>
      <c r="J60" s="35" t="inlineStr">
        <is>
          <t>A FAZER</t>
        </is>
      </c>
    </row>
    <row r="61">
      <c r="A61" s="53" t="n">
        <v>46300</v>
      </c>
      <c r="B61" s="6" t="inlineStr">
        <is>
          <t>Segunda</t>
        </is>
      </c>
      <c r="C61" s="6" t="n">
        <v>59</v>
      </c>
      <c r="D61" s="14" t="inlineStr">
        <is>
          <t>LEGISLAÇÃO INSTITUCIONAL MP</t>
        </is>
      </c>
      <c r="E61" s="15" t="inlineStr">
        <is>
          <t>REVISÃO 15 DIAS</t>
        </is>
      </c>
      <c r="F61" s="14" t="inlineStr">
        <is>
          <t>Lei Orgânica Nacional do MP (Lei 8.625/93)</t>
        </is>
      </c>
      <c r="G61" s="15" t="inlineStr"/>
      <c r="H61" s="15" t="n"/>
      <c r="I61" s="15" t="n"/>
      <c r="J61" s="35" t="inlineStr">
        <is>
          <t>A FAZER</t>
        </is>
      </c>
    </row>
    <row r="62">
      <c r="A62" s="53" t="n">
        <v>46300</v>
      </c>
      <c r="B62" s="6" t="inlineStr">
        <is>
          <t>Segunda</t>
        </is>
      </c>
      <c r="C62" s="6" t="n">
        <v>60</v>
      </c>
      <c r="D62" s="12" t="inlineStr">
        <is>
          <t>ESTRUTURA DE DADOS E ALGORITMOS</t>
        </is>
      </c>
      <c r="E62" s="13" t="inlineStr">
        <is>
          <t>REVISÃO 7 DIAS</t>
        </is>
      </c>
      <c r="F62" s="12" t="inlineStr">
        <is>
          <t>Sub-rotinas: chamada por endereço, referência e valor</t>
        </is>
      </c>
      <c r="G62" s="13" t="inlineStr"/>
      <c r="H62" s="13" t="n"/>
      <c r="I62" s="13" t="n"/>
      <c r="J62" s="35" t="inlineStr">
        <is>
          <t>A FAZER</t>
        </is>
      </c>
    </row>
    <row r="63">
      <c r="A63" s="53" t="n">
        <v>46300</v>
      </c>
      <c r="B63" s="6" t="inlineStr">
        <is>
          <t>Segunda</t>
        </is>
      </c>
      <c r="C63" s="6" t="n">
        <v>61</v>
      </c>
      <c r="D63" s="8" t="inlineStr">
        <is>
          <t>ARQUITETURA DE SOFTWARE</t>
        </is>
      </c>
      <c r="E63" s="9" t="inlineStr">
        <is>
          <t>REVISÃO 24H</t>
        </is>
      </c>
      <c r="F63" s="8" t="inlineStr">
        <is>
          <t>Padrões de projeto (design patterns) e anti-patterns</t>
        </is>
      </c>
      <c r="G63" s="9" t="inlineStr"/>
      <c r="H63" s="9" t="n"/>
      <c r="I63" s="9" t="n"/>
      <c r="J63" s="35" t="inlineStr">
        <is>
          <t>A FAZER</t>
        </is>
      </c>
    </row>
    <row r="64">
      <c r="A64" s="52" t="n">
        <v>46301</v>
      </c>
      <c r="B64" s="4" t="inlineStr">
        <is>
          <t>Terça</t>
        </is>
      </c>
      <c r="C64" s="4" t="n">
        <v>62</v>
      </c>
      <c r="D64" s="5" t="inlineStr">
        <is>
          <t>ESTRUTURA DE DADOS E ALGORITMOS</t>
        </is>
      </c>
      <c r="E64" s="6" t="inlineStr">
        <is>
          <t>ESTUDO</t>
        </is>
      </c>
      <c r="F64" s="5" t="inlineStr">
        <is>
          <t>Algoritmos de pesquisa e ordenação</t>
        </is>
      </c>
      <c r="G64" s="6" t="n">
        <v>120</v>
      </c>
      <c r="H64" s="6" t="n"/>
      <c r="I64" s="6" t="n"/>
      <c r="J64" s="35" t="inlineStr">
        <is>
          <t>A FAZER</t>
        </is>
      </c>
    </row>
    <row r="65">
      <c r="A65" s="52" t="n">
        <v>46301</v>
      </c>
      <c r="B65" s="4" t="inlineStr">
        <is>
          <t>Terça</t>
        </is>
      </c>
      <c r="C65" s="4" t="n">
        <v>63</v>
      </c>
      <c r="D65" s="14" t="inlineStr">
        <is>
          <t>ARQUITETURA DE SOFTWARE</t>
        </is>
      </c>
      <c r="E65" s="15" t="inlineStr">
        <is>
          <t>REVISÃO 15 DIAS</t>
        </is>
      </c>
      <c r="F65" s="14" t="inlineStr">
        <is>
          <t>Padrão MVC; Microsserviços; Arquitetura orientada a eventos</t>
        </is>
      </c>
      <c r="G65" s="15" t="inlineStr"/>
      <c r="H65" s="15" t="n"/>
      <c r="I65" s="15" t="n"/>
      <c r="J65" s="35" t="inlineStr">
        <is>
          <t>A FAZER</t>
        </is>
      </c>
    </row>
    <row r="66">
      <c r="A66" s="52" t="n">
        <v>46301</v>
      </c>
      <c r="B66" s="4" t="inlineStr">
        <is>
          <t>Terça</t>
        </is>
      </c>
      <c r="C66" s="4" t="n">
        <v>64</v>
      </c>
      <c r="D66" s="12" t="inlineStr">
        <is>
          <t>ARQUITETURA / BANCO DE DADOS</t>
        </is>
      </c>
      <c r="E66" s="13" t="inlineStr">
        <is>
          <t>REVISÃO 7 DIAS</t>
        </is>
      </c>
      <c r="F66" s="12" t="inlineStr">
        <is>
          <t>Normalização, integridade referencial e metadados</t>
        </is>
      </c>
      <c r="G66" s="13" t="inlineStr"/>
      <c r="H66" s="13" t="n"/>
      <c r="I66" s="13" t="n"/>
      <c r="J66" s="35" t="inlineStr">
        <is>
          <t>A FAZER</t>
        </is>
      </c>
    </row>
    <row r="67">
      <c r="A67" s="52" t="n">
        <v>46301</v>
      </c>
      <c r="B67" s="4" t="inlineStr">
        <is>
          <t>Terça</t>
        </is>
      </c>
      <c r="C67" s="4" t="n">
        <v>65</v>
      </c>
      <c r="D67" s="8" t="inlineStr">
        <is>
          <t>QUALIDADE DE SOFTWARE</t>
        </is>
      </c>
      <c r="E67" s="9" t="inlineStr">
        <is>
          <t>REVISÃO 24H</t>
        </is>
      </c>
      <c r="F67" s="8" t="inlineStr">
        <is>
          <t>Testes: unitário, integração, funcional, aceitação</t>
        </is>
      </c>
      <c r="G67" s="9" t="inlineStr"/>
      <c r="H67" s="9" t="n"/>
      <c r="I67" s="9" t="n"/>
      <c r="J67" s="35" t="inlineStr">
        <is>
          <t>A FAZER</t>
        </is>
      </c>
    </row>
    <row r="68">
      <c r="A68" s="53" t="n">
        <v>46302</v>
      </c>
      <c r="B68" s="6" t="inlineStr">
        <is>
          <t>Quarta</t>
        </is>
      </c>
      <c r="C68" s="6" t="n">
        <v>66</v>
      </c>
      <c r="D68" s="5" t="inlineStr">
        <is>
          <t>ARQUITETURA / BANCO DE DADOS</t>
        </is>
      </c>
      <c r="E68" s="6" t="inlineStr">
        <is>
          <t>ESTUDO</t>
        </is>
      </c>
      <c r="F68" s="5" t="inlineStr">
        <is>
          <t>Modelagem dimensional e avaliação de modelos</t>
        </is>
      </c>
      <c r="G68" s="6" t="n">
        <v>120</v>
      </c>
      <c r="H68" s="6" t="n"/>
      <c r="I68" s="6" t="n"/>
      <c r="J68" s="35" t="inlineStr">
        <is>
          <t>A FAZER</t>
        </is>
      </c>
    </row>
    <row r="69">
      <c r="A69" s="53" t="n">
        <v>46302</v>
      </c>
      <c r="B69" s="6" t="inlineStr">
        <is>
          <t>Quarta</t>
        </is>
      </c>
      <c r="C69" s="6" t="n">
        <v>67</v>
      </c>
      <c r="D69" s="14" t="inlineStr">
        <is>
          <t>LINGUAGENS DE PROGRAMAÇÃO</t>
        </is>
      </c>
      <c r="E69" s="15" t="inlineStr">
        <is>
          <t>REVISÃO 15 DIAS</t>
        </is>
      </c>
      <c r="F69" s="14" t="inlineStr">
        <is>
          <t>Orientação a Objetos: pilares e características estruturais</t>
        </is>
      </c>
      <c r="G69" s="15" t="inlineStr"/>
      <c r="H69" s="15" t="n"/>
      <c r="I69" s="15" t="n"/>
      <c r="J69" s="35" t="inlineStr">
        <is>
          <t>A FAZER</t>
        </is>
      </c>
    </row>
    <row r="70">
      <c r="A70" s="53" t="n">
        <v>46302</v>
      </c>
      <c r="B70" s="6" t="inlineStr">
        <is>
          <t>Quarta</t>
        </is>
      </c>
      <c r="C70" s="6" t="n">
        <v>68</v>
      </c>
      <c r="D70" s="12" t="inlineStr">
        <is>
          <t>LÍNGUA PORTUGUESA</t>
        </is>
      </c>
      <c r="E70" s="13" t="inlineStr">
        <is>
          <t>REVISÃO 7 DIAS</t>
        </is>
      </c>
      <c r="F70" s="12" t="inlineStr">
        <is>
          <t>Ortografia, acentuação e uso da crase</t>
        </is>
      </c>
      <c r="G70" s="13" t="inlineStr"/>
      <c r="H70" s="13" t="n"/>
      <c r="I70" s="13" t="n"/>
      <c r="J70" s="35" t="inlineStr">
        <is>
          <t>A FAZER</t>
        </is>
      </c>
    </row>
    <row r="71">
      <c r="A71" s="53" t="n">
        <v>46302</v>
      </c>
      <c r="B71" s="6" t="inlineStr">
        <is>
          <t>Quarta</t>
        </is>
      </c>
      <c r="C71" s="6" t="n">
        <v>69</v>
      </c>
      <c r="D71" s="8" t="inlineStr">
        <is>
          <t>ESTRUTURA DE DADOS E ALGORITMOS</t>
        </is>
      </c>
      <c r="E71" s="9" t="inlineStr">
        <is>
          <t>REVISÃO 24H</t>
        </is>
      </c>
      <c r="F71" s="8" t="inlineStr">
        <is>
          <t>Algoritmos de pesquisa e ordenação</t>
        </is>
      </c>
      <c r="G71" s="9" t="inlineStr"/>
      <c r="H71" s="9" t="n"/>
      <c r="I71" s="9" t="n"/>
      <c r="J71" s="35" t="inlineStr">
        <is>
          <t>A FAZER</t>
        </is>
      </c>
    </row>
    <row r="72">
      <c r="A72" s="52" t="n">
        <v>46303</v>
      </c>
      <c r="B72" s="4" t="inlineStr">
        <is>
          <t>Quinta</t>
        </is>
      </c>
      <c r="C72" s="4" t="n">
        <v>70</v>
      </c>
      <c r="D72" s="5" t="inlineStr">
        <is>
          <t>SEGURANÇA DA INFORMAÇÃO</t>
        </is>
      </c>
      <c r="E72" s="6" t="inlineStr">
        <is>
          <t>ESTUDO</t>
        </is>
      </c>
      <c r="F72" s="5" t="inlineStr">
        <is>
          <t>SSO (Single Sign-On) e Autenticação Multifator (MFA)</t>
        </is>
      </c>
      <c r="G72" s="6" t="n">
        <v>120</v>
      </c>
      <c r="H72" s="6" t="n"/>
      <c r="I72" s="6" t="n"/>
      <c r="J72" s="35" t="inlineStr">
        <is>
          <t>A FAZER</t>
        </is>
      </c>
    </row>
    <row r="73">
      <c r="A73" s="52" t="n">
        <v>46303</v>
      </c>
      <c r="B73" s="4" t="inlineStr">
        <is>
          <t>Quinta</t>
        </is>
      </c>
      <c r="C73" s="4" t="n">
        <v>71</v>
      </c>
      <c r="D73" s="14" t="inlineStr">
        <is>
          <t>QUALIDADE DE SOFTWARE</t>
        </is>
      </c>
      <c r="E73" s="15" t="inlineStr">
        <is>
          <t>REVISÃO 15 DIAS</t>
        </is>
      </c>
      <c r="F73" s="14" t="inlineStr">
        <is>
          <t>Garantia da qualidade e métricas de código</t>
        </is>
      </c>
      <c r="G73" s="15" t="inlineStr"/>
      <c r="H73" s="15" t="n"/>
      <c r="I73" s="15" t="n"/>
      <c r="J73" s="35" t="inlineStr">
        <is>
          <t>A FAZER</t>
        </is>
      </c>
    </row>
    <row r="74">
      <c r="A74" s="52" t="n">
        <v>46303</v>
      </c>
      <c r="B74" s="4" t="inlineStr">
        <is>
          <t>Quinta</t>
        </is>
      </c>
      <c r="C74" s="4" t="n">
        <v>72</v>
      </c>
      <c r="D74" s="12" t="inlineStr">
        <is>
          <t>DIREITO CONSTITUCIONAL</t>
        </is>
      </c>
      <c r="E74" s="13" t="inlineStr">
        <is>
          <t>REVISÃO 7 DIAS</t>
        </is>
      </c>
      <c r="F74" s="12" t="inlineStr">
        <is>
          <t>Eficácia, aplicabilidade e interpretação das normas constitucionais</t>
        </is>
      </c>
      <c r="G74" s="13" t="inlineStr"/>
      <c r="H74" s="13" t="n"/>
      <c r="I74" s="13" t="n"/>
      <c r="J74" s="35" t="inlineStr">
        <is>
          <t>A FAZER</t>
        </is>
      </c>
    </row>
    <row r="75">
      <c r="A75" s="52" t="n">
        <v>46303</v>
      </c>
      <c r="B75" s="4" t="inlineStr">
        <is>
          <t>Quinta</t>
        </is>
      </c>
      <c r="C75" s="4" t="n">
        <v>73</v>
      </c>
      <c r="D75" s="8" t="inlineStr">
        <is>
          <t>ARQUITETURA / BANCO DE DADOS</t>
        </is>
      </c>
      <c r="E75" s="9" t="inlineStr">
        <is>
          <t>REVISÃO 24H</t>
        </is>
      </c>
      <c r="F75" s="8" t="inlineStr">
        <is>
          <t>Modelagem dimensional e avaliação de modelos</t>
        </is>
      </c>
      <c r="G75" s="9" t="inlineStr"/>
      <c r="H75" s="9" t="n"/>
      <c r="I75" s="9" t="n"/>
      <c r="J75" s="35" t="inlineStr">
        <is>
          <t>A FAZER</t>
        </is>
      </c>
    </row>
    <row r="76">
      <c r="A76" s="53" t="n">
        <v>46304</v>
      </c>
      <c r="B76" s="6" t="inlineStr">
        <is>
          <t>Sexta</t>
        </is>
      </c>
      <c r="C76" s="6" t="n">
        <v>74</v>
      </c>
      <c r="D76" s="5" t="inlineStr">
        <is>
          <t>ENGENHARIA DE SOFTWARE</t>
        </is>
      </c>
      <c r="E76" s="6" t="inlineStr">
        <is>
          <t>ESTUDO</t>
        </is>
      </c>
      <c r="F76" s="5" t="inlineStr">
        <is>
          <t>Gerenciamento de ciclo de vida de aplicações; Integração contínua</t>
        </is>
      </c>
      <c r="G76" s="6" t="n">
        <v>120</v>
      </c>
      <c r="H76" s="6" t="n"/>
      <c r="I76" s="6" t="n"/>
      <c r="J76" s="35" t="inlineStr">
        <is>
          <t>A FAZER</t>
        </is>
      </c>
    </row>
    <row r="77">
      <c r="A77" s="53" t="n">
        <v>46304</v>
      </c>
      <c r="B77" s="6" t="inlineStr">
        <is>
          <t>Sexta</t>
        </is>
      </c>
      <c r="C77" s="6" t="n">
        <v>75</v>
      </c>
      <c r="D77" s="14" t="inlineStr">
        <is>
          <t>ESTRUTURA DE DADOS E ALGORITMOS</t>
        </is>
      </c>
      <c r="E77" s="15" t="inlineStr">
        <is>
          <t>REVISÃO 15 DIAS</t>
        </is>
      </c>
      <c r="F77" s="14" t="inlineStr">
        <is>
          <t>Tipos básicos e abstratos de dados (lista, fila, pilha, árvore)</t>
        </is>
      </c>
      <c r="G77" s="15" t="inlineStr"/>
      <c r="H77" s="15" t="n"/>
      <c r="I77" s="15" t="n"/>
      <c r="J77" s="35" t="inlineStr">
        <is>
          <t>A FAZER</t>
        </is>
      </c>
    </row>
    <row r="78">
      <c r="A78" s="53" t="n">
        <v>46304</v>
      </c>
      <c r="B78" s="6" t="inlineStr">
        <is>
          <t>Sexta</t>
        </is>
      </c>
      <c r="C78" s="6" t="n">
        <v>76</v>
      </c>
      <c r="D78" s="12" t="inlineStr">
        <is>
          <t>DIREITO ADMINISTRATIVO</t>
        </is>
      </c>
      <c r="E78" s="13" t="inlineStr">
        <is>
          <t>REVISÃO 7 DIAS</t>
        </is>
      </c>
      <c r="F78" s="12" t="inlineStr">
        <is>
          <t>Organização Administrativa e Atos Administrativos</t>
        </is>
      </c>
      <c r="G78" s="13" t="inlineStr"/>
      <c r="H78" s="13" t="n"/>
      <c r="I78" s="13" t="n"/>
      <c r="J78" s="35" t="inlineStr">
        <is>
          <t>A FAZER</t>
        </is>
      </c>
    </row>
    <row r="79">
      <c r="A79" s="53" t="n">
        <v>46304</v>
      </c>
      <c r="B79" s="6" t="inlineStr">
        <is>
          <t>Sexta</t>
        </is>
      </c>
      <c r="C79" s="6" t="n">
        <v>77</v>
      </c>
      <c r="D79" s="8" t="inlineStr">
        <is>
          <t>SEGURANÇA DA INFORMAÇÃO</t>
        </is>
      </c>
      <c r="E79" s="9" t="inlineStr">
        <is>
          <t>REVISÃO 24H</t>
        </is>
      </c>
      <c r="F79" s="8" t="inlineStr">
        <is>
          <t>SSO (Single Sign-On) e Autenticação Multifator (MFA)</t>
        </is>
      </c>
      <c r="G79" s="9" t="inlineStr"/>
      <c r="H79" s="9" t="n"/>
      <c r="I79" s="9" t="n"/>
      <c r="J79" s="35" t="inlineStr">
        <is>
          <t>A FAZER</t>
        </is>
      </c>
    </row>
    <row r="80">
      <c r="A80" s="52" t="n">
        <v>46305</v>
      </c>
      <c r="B80" s="4" t="inlineStr">
        <is>
          <t>Sábado</t>
        </is>
      </c>
      <c r="C80" s="4" t="n">
        <v>78</v>
      </c>
      <c r="D80" s="5" t="inlineStr">
        <is>
          <t>ARQUITETURA DE SOFTWARE</t>
        </is>
      </c>
      <c r="E80" s="6" t="inlineStr">
        <is>
          <t>ESTUDO</t>
        </is>
      </c>
      <c r="F80" s="5" t="inlineStr">
        <is>
          <t>Conteinerização; servidores de aplicação</t>
        </is>
      </c>
      <c r="G80" s="6" t="n">
        <v>120</v>
      </c>
      <c r="H80" s="6" t="n"/>
      <c r="I80" s="6" t="n"/>
      <c r="J80" s="35" t="inlineStr">
        <is>
          <t>A FAZER</t>
        </is>
      </c>
    </row>
    <row r="81">
      <c r="A81" s="52" t="n">
        <v>46305</v>
      </c>
      <c r="B81" s="4" t="inlineStr">
        <is>
          <t>Sábado</t>
        </is>
      </c>
      <c r="C81" s="4" t="n">
        <v>79</v>
      </c>
      <c r="D81" s="5" t="inlineStr">
        <is>
          <t>LINGUAGENS DE PROGRAMAÇÃO</t>
        </is>
      </c>
      <c r="E81" s="6" t="inlineStr">
        <is>
          <t>ESTUDO</t>
        </is>
      </c>
      <c r="F81" s="5" t="inlineStr">
        <is>
          <t>Coleções, tipos genéricos, threads e escalonamento</t>
        </is>
      </c>
      <c r="G81" s="6" t="n">
        <v>120</v>
      </c>
      <c r="H81" s="6" t="n"/>
      <c r="I81" s="6" t="n"/>
      <c r="J81" s="35" t="inlineStr">
        <is>
          <t>A FAZER</t>
        </is>
      </c>
    </row>
    <row r="82">
      <c r="A82" s="52" t="n">
        <v>46305</v>
      </c>
      <c r="B82" s="4" t="inlineStr">
        <is>
          <t>Sábado</t>
        </is>
      </c>
      <c r="C82" s="4" t="n">
        <v>80</v>
      </c>
      <c r="D82" s="14" t="inlineStr">
        <is>
          <t>ARQUITETURA / BANCO DE DADOS</t>
        </is>
      </c>
      <c r="E82" s="15" t="inlineStr">
        <is>
          <t>REVISÃO 15 DIAS</t>
        </is>
      </c>
      <c r="F82" s="14" t="inlineStr">
        <is>
          <t>Modelagem de dados: conceitual, lógica e física</t>
        </is>
      </c>
      <c r="G82" s="15" t="inlineStr"/>
      <c r="H82" s="15" t="n"/>
      <c r="I82" s="15" t="n"/>
      <c r="J82" s="35" t="inlineStr">
        <is>
          <t>A FAZER</t>
        </is>
      </c>
    </row>
    <row r="83">
      <c r="A83" s="52" t="n">
        <v>46305</v>
      </c>
      <c r="B83" s="4" t="inlineStr">
        <is>
          <t>Sábado</t>
        </is>
      </c>
      <c r="C83" s="4" t="n">
        <v>81</v>
      </c>
      <c r="D83" s="12" t="inlineStr">
        <is>
          <t>LEGISLAÇÃO INSTITUCIONAL MP</t>
        </is>
      </c>
      <c r="E83" s="13" t="inlineStr">
        <is>
          <t>REVISÃO 7 DIAS</t>
        </is>
      </c>
      <c r="F83" s="12" t="inlineStr">
        <is>
          <t>Lei Orgânica do MPMS (LC Estadual 72/1994)</t>
        </is>
      </c>
      <c r="G83" s="13" t="inlineStr"/>
      <c r="H83" s="13" t="n"/>
      <c r="I83" s="13" t="n"/>
      <c r="J83" s="35" t="inlineStr">
        <is>
          <t>A FAZER</t>
        </is>
      </c>
    </row>
    <row r="84">
      <c r="A84" s="52" t="n">
        <v>46305</v>
      </c>
      <c r="B84" s="4" t="inlineStr">
        <is>
          <t>Sábado</t>
        </is>
      </c>
      <c r="C84" s="4" t="n">
        <v>82</v>
      </c>
      <c r="D84" s="12" t="inlineStr">
        <is>
          <t>ENGENHARIA DE SOFTWARE</t>
        </is>
      </c>
      <c r="E84" s="13" t="inlineStr">
        <is>
          <t>REVISÃO 7 DIAS</t>
        </is>
      </c>
      <c r="F84" s="12" t="inlineStr">
        <is>
          <t>Processos interativo/incremental; práticas ágeis; TDD</t>
        </is>
      </c>
      <c r="G84" s="13" t="inlineStr"/>
      <c r="H84" s="13" t="n"/>
      <c r="I84" s="13" t="n"/>
      <c r="J84" s="35" t="inlineStr">
        <is>
          <t>A FAZER</t>
        </is>
      </c>
    </row>
    <row r="85">
      <c r="A85" s="52" t="n">
        <v>46305</v>
      </c>
      <c r="B85" s="4" t="inlineStr">
        <is>
          <t>Sábado</t>
        </is>
      </c>
      <c r="C85" s="4" t="n">
        <v>83</v>
      </c>
      <c r="D85" s="8" t="inlineStr">
        <is>
          <t>ENGENHARIA DE SOFTWARE</t>
        </is>
      </c>
      <c r="E85" s="9" t="inlineStr">
        <is>
          <t>REVISÃO 24H</t>
        </is>
      </c>
      <c r="F85" s="8" t="inlineStr">
        <is>
          <t>Gerenciamento de ciclo de vida de aplicações; Integração contínua</t>
        </is>
      </c>
      <c r="G85" s="9" t="inlineStr"/>
      <c r="H85" s="9" t="n"/>
      <c r="I85" s="9" t="n"/>
      <c r="J85" s="35" t="inlineStr">
        <is>
          <t>A FAZER</t>
        </is>
      </c>
    </row>
    <row r="86">
      <c r="A86" s="53" t="n">
        <v>46306</v>
      </c>
      <c r="B86" s="6" t="inlineStr">
        <is>
          <t>Domingo</t>
        </is>
      </c>
      <c r="C86" s="6" t="n">
        <v>84</v>
      </c>
      <c r="D86" s="5" t="inlineStr">
        <is>
          <t>ESTRUTURA DE DADOS E ALGORITMOS</t>
        </is>
      </c>
      <c r="E86" s="6" t="inlineStr">
        <is>
          <t>ESTUDO</t>
        </is>
      </c>
      <c r="F86" s="5" t="inlineStr">
        <is>
          <t>Listas lineares, encadeadas, vetores e matrizes</t>
        </is>
      </c>
      <c r="G86" s="6" t="n">
        <v>120</v>
      </c>
      <c r="H86" s="6" t="n"/>
      <c r="I86" s="6" t="n"/>
      <c r="J86" s="35" t="inlineStr">
        <is>
          <t>A FAZER</t>
        </is>
      </c>
    </row>
    <row r="87">
      <c r="A87" s="53" t="n">
        <v>46306</v>
      </c>
      <c r="B87" s="6" t="inlineStr">
        <is>
          <t>Domingo</t>
        </is>
      </c>
      <c r="C87" s="6" t="n">
        <v>85</v>
      </c>
      <c r="D87" s="10" t="inlineStr">
        <is>
          <t>ARQUITETURA / BANCO DE DADOS</t>
        </is>
      </c>
      <c r="E87" s="11" t="inlineStr">
        <is>
          <t>SIMULADO</t>
        </is>
      </c>
      <c r="F87" s="10" t="inlineStr">
        <is>
          <t>Simulado misto (questões de todas as matérias da semana)</t>
        </is>
      </c>
      <c r="G87" s="11" t="n">
        <v>120</v>
      </c>
      <c r="H87" s="11" t="n"/>
      <c r="I87" s="11" t="n"/>
      <c r="J87" s="35" t="inlineStr">
        <is>
          <t>A FAZER</t>
        </is>
      </c>
    </row>
    <row r="88">
      <c r="A88" s="53" t="n">
        <v>46306</v>
      </c>
      <c r="B88" s="6" t="inlineStr">
        <is>
          <t>Domingo</t>
        </is>
      </c>
      <c r="C88" s="6" t="n">
        <v>86</v>
      </c>
      <c r="D88" s="14" t="inlineStr">
        <is>
          <t>SEGURANÇA DA INFORMAÇÃO</t>
        </is>
      </c>
      <c r="E88" s="15" t="inlineStr">
        <is>
          <t>REVISÃO 15 DIAS</t>
        </is>
      </c>
      <c r="F88" s="14" t="inlineStr">
        <is>
          <t>Desenvolvimento seguro: SAST / DAST / IAST</t>
        </is>
      </c>
      <c r="G88" s="15" t="inlineStr"/>
      <c r="H88" s="15" t="n"/>
      <c r="I88" s="15" t="n"/>
      <c r="J88" s="35" t="inlineStr">
        <is>
          <t>A FAZER</t>
        </is>
      </c>
    </row>
    <row r="89">
      <c r="A89" s="53" t="n">
        <v>46306</v>
      </c>
      <c r="B89" s="6" t="inlineStr">
        <is>
          <t>Domingo</t>
        </is>
      </c>
      <c r="C89" s="6" t="n">
        <v>87</v>
      </c>
      <c r="D89" s="14" t="inlineStr">
        <is>
          <t>ENGENHARIA DE SOFTWARE</t>
        </is>
      </c>
      <c r="E89" s="15" t="inlineStr">
        <is>
          <t>REVISÃO 15 DIAS</t>
        </is>
      </c>
      <c r="F89" s="14" t="inlineStr">
        <is>
          <t>Ciclo de vida e metodologias de desenvolvimento (cascata, ágil)</t>
        </is>
      </c>
      <c r="G89" s="15" t="inlineStr"/>
      <c r="H89" s="15" t="n"/>
      <c r="I89" s="15" t="n"/>
      <c r="J89" s="35" t="inlineStr">
        <is>
          <t>A FAZER</t>
        </is>
      </c>
    </row>
    <row r="90">
      <c r="A90" s="53" t="n">
        <v>46306</v>
      </c>
      <c r="B90" s="6" t="inlineStr">
        <is>
          <t>Domingo</t>
        </is>
      </c>
      <c r="C90" s="6" t="n">
        <v>88</v>
      </c>
      <c r="D90" s="12" t="inlineStr">
        <is>
          <t>ARQUITETURA DE SOFTWARE</t>
        </is>
      </c>
      <c r="E90" s="13" t="inlineStr">
        <is>
          <t>REVISÃO 7 DIAS</t>
        </is>
      </c>
      <c r="F90" s="12" t="inlineStr">
        <is>
          <t>Padrões de projeto (design patterns) e anti-patterns</t>
        </is>
      </c>
      <c r="G90" s="13" t="inlineStr"/>
      <c r="H90" s="13" t="n"/>
      <c r="I90" s="13" t="n"/>
      <c r="J90" s="35" t="inlineStr">
        <is>
          <t>A FAZER</t>
        </is>
      </c>
    </row>
    <row r="91">
      <c r="A91" s="53" t="n">
        <v>46306</v>
      </c>
      <c r="B91" s="6" t="inlineStr">
        <is>
          <t>Domingo</t>
        </is>
      </c>
      <c r="C91" s="6" t="n">
        <v>89</v>
      </c>
      <c r="D91" s="8" t="inlineStr">
        <is>
          <t>ARQUITETURA DE SOFTWARE</t>
        </is>
      </c>
      <c r="E91" s="9" t="inlineStr">
        <is>
          <t>REVISÃO 24H</t>
        </is>
      </c>
      <c r="F91" s="8" t="inlineStr">
        <is>
          <t>Conteinerização; servidores de aplicação</t>
        </is>
      </c>
      <c r="G91" s="9" t="inlineStr"/>
      <c r="H91" s="9" t="n"/>
      <c r="I91" s="9" t="n"/>
      <c r="J91" s="35" t="inlineStr">
        <is>
          <t>A FAZER</t>
        </is>
      </c>
    </row>
    <row r="92">
      <c r="A92" s="53" t="n">
        <v>46306</v>
      </c>
      <c r="B92" s="6" t="inlineStr">
        <is>
          <t>Domingo</t>
        </is>
      </c>
      <c r="C92" s="6" t="n">
        <v>90</v>
      </c>
      <c r="D92" s="8" t="inlineStr">
        <is>
          <t>LINGUAGENS DE PROGRAMAÇÃO</t>
        </is>
      </c>
      <c r="E92" s="9" t="inlineStr">
        <is>
          <t>REVISÃO 24H</t>
        </is>
      </c>
      <c r="F92" s="8" t="inlineStr">
        <is>
          <t>Coleções, tipos genéricos, threads e escalonamento</t>
        </is>
      </c>
      <c r="G92" s="9" t="inlineStr"/>
      <c r="H92" s="9" t="n"/>
      <c r="I92" s="9" t="n"/>
      <c r="J92" s="35" t="inlineStr">
        <is>
          <t>A FAZER</t>
        </is>
      </c>
    </row>
    <row r="93">
      <c r="A93" s="52" t="n">
        <v>46307</v>
      </c>
      <c r="B93" s="4" t="inlineStr">
        <is>
          <t>Segunda</t>
        </is>
      </c>
      <c r="C93" s="4" t="n">
        <v>91</v>
      </c>
      <c r="D93" s="14" t="inlineStr">
        <is>
          <t>ARQUITETURA DE SOFTWARE</t>
        </is>
      </c>
      <c r="E93" s="15" t="inlineStr">
        <is>
          <t>REVISÃO 15 DIAS</t>
        </is>
      </c>
      <c r="F93" s="14" t="inlineStr">
        <is>
          <t>Arquitetura Orientada a Serviços (SOA) e interoperabilidade</t>
        </is>
      </c>
      <c r="G93" s="15" t="inlineStr"/>
      <c r="H93" s="15" t="n"/>
      <c r="I93" s="15" t="n"/>
      <c r="J93" s="35" t="inlineStr">
        <is>
          <t>A FAZER</t>
        </is>
      </c>
    </row>
    <row r="94">
      <c r="A94" s="52" t="n">
        <v>46307</v>
      </c>
      <c r="B94" s="4" t="inlineStr">
        <is>
          <t>Segunda</t>
        </is>
      </c>
      <c r="C94" s="4" t="n">
        <v>92</v>
      </c>
      <c r="D94" s="12" t="inlineStr">
        <is>
          <t>QUALIDADE DE SOFTWARE</t>
        </is>
      </c>
      <c r="E94" s="13" t="inlineStr">
        <is>
          <t>REVISÃO 7 DIAS</t>
        </is>
      </c>
      <c r="F94" s="12" t="inlineStr">
        <is>
          <t>Testes: unitário, integração, funcional, aceitação</t>
        </is>
      </c>
      <c r="G94" s="13" t="inlineStr"/>
      <c r="H94" s="13" t="n"/>
      <c r="I94" s="13" t="n"/>
      <c r="J94" s="35" t="inlineStr">
        <is>
          <t>A FAZER</t>
        </is>
      </c>
    </row>
    <row r="95">
      <c r="A95" s="52" t="n">
        <v>46307</v>
      </c>
      <c r="B95" s="4" t="inlineStr">
        <is>
          <t>Segunda</t>
        </is>
      </c>
      <c r="C95" s="4" t="n">
        <v>93</v>
      </c>
      <c r="D95" s="8" t="inlineStr">
        <is>
          <t>ESTRUTURA DE DADOS E ALGORITMOS</t>
        </is>
      </c>
      <c r="E95" s="9" t="inlineStr">
        <is>
          <t>REVISÃO 24H</t>
        </is>
      </c>
      <c r="F95" s="8" t="inlineStr">
        <is>
          <t>Listas lineares, encadeadas, vetores e matrizes</t>
        </is>
      </c>
      <c r="G95" s="9" t="inlineStr"/>
      <c r="H95" s="9" t="n"/>
      <c r="I95" s="9" t="n"/>
      <c r="J95" s="35" t="inlineStr">
        <is>
          <t>A FAZER</t>
        </is>
      </c>
    </row>
    <row r="96">
      <c r="A96" s="53" t="n">
        <v>46308</v>
      </c>
      <c r="B96" s="6" t="inlineStr">
        <is>
          <t>Terça</t>
        </is>
      </c>
      <c r="C96" s="6" t="n">
        <v>94</v>
      </c>
      <c r="D96" s="5" t="inlineStr">
        <is>
          <t>LÍNGUA PORTUGUESA</t>
        </is>
      </c>
      <c r="E96" s="6" t="inlineStr">
        <is>
          <t>ESTUDO</t>
        </is>
      </c>
      <c r="F96" s="5" t="inlineStr">
        <is>
          <t>Morfologia (classes de palavras) e funções do 'que'/'se'</t>
        </is>
      </c>
      <c r="G96" s="6" t="n">
        <v>120</v>
      </c>
      <c r="H96" s="6" t="n"/>
      <c r="I96" s="6" t="n"/>
      <c r="J96" s="35" t="inlineStr">
        <is>
          <t>A FAZER</t>
        </is>
      </c>
    </row>
    <row r="97">
      <c r="A97" s="53" t="n">
        <v>46308</v>
      </c>
      <c r="B97" s="6" t="inlineStr">
        <is>
          <t>Terça</t>
        </is>
      </c>
      <c r="C97" s="6" t="n">
        <v>95</v>
      </c>
      <c r="D97" s="14" t="inlineStr">
        <is>
          <t>ESTRUTURA DE DADOS E ALGORITMOS</t>
        </is>
      </c>
      <c r="E97" s="15" t="inlineStr">
        <is>
          <t>REVISÃO 15 DIAS</t>
        </is>
      </c>
      <c r="F97" s="14" t="inlineStr">
        <is>
          <t>Sub-rotinas: chamada por endereço, referência e valor</t>
        </is>
      </c>
      <c r="G97" s="15" t="inlineStr"/>
      <c r="H97" s="15" t="n"/>
      <c r="I97" s="15" t="n"/>
      <c r="J97" s="35" t="inlineStr">
        <is>
          <t>A FAZER</t>
        </is>
      </c>
    </row>
    <row r="98">
      <c r="A98" s="53" t="n">
        <v>46308</v>
      </c>
      <c r="B98" s="6" t="inlineStr">
        <is>
          <t>Terça</t>
        </is>
      </c>
      <c r="C98" s="6" t="n">
        <v>96</v>
      </c>
      <c r="D98" s="12" t="inlineStr">
        <is>
          <t>ESTRUTURA DE DADOS E ALGORITMOS</t>
        </is>
      </c>
      <c r="E98" s="13" t="inlineStr">
        <is>
          <t>REVISÃO 7 DIAS</t>
        </is>
      </c>
      <c r="F98" s="12" t="inlineStr">
        <is>
          <t>Algoritmos de pesquisa e ordenação</t>
        </is>
      </c>
      <c r="G98" s="13" t="inlineStr"/>
      <c r="H98" s="13" t="n"/>
      <c r="I98" s="13" t="n"/>
      <c r="J98" s="35" t="inlineStr">
        <is>
          <t>A FAZER</t>
        </is>
      </c>
    </row>
    <row r="99">
      <c r="A99" s="52" t="n">
        <v>46309</v>
      </c>
      <c r="B99" s="4" t="inlineStr">
        <is>
          <t>Quarta</t>
        </is>
      </c>
      <c r="C99" s="4" t="n">
        <v>97</v>
      </c>
      <c r="D99" s="5" t="inlineStr">
        <is>
          <t>DIREITO CONSTITUCIONAL</t>
        </is>
      </c>
      <c r="E99" s="6" t="inlineStr">
        <is>
          <t>ESTUDO</t>
        </is>
      </c>
      <c r="F99" s="5" t="inlineStr">
        <is>
          <t>Poder Constituinte e Princípios Fundamentais</t>
        </is>
      </c>
      <c r="G99" s="6" t="n">
        <v>120</v>
      </c>
      <c r="H99" s="6" t="n"/>
      <c r="I99" s="6" t="n"/>
      <c r="J99" s="35" t="inlineStr">
        <is>
          <t>A FAZER</t>
        </is>
      </c>
    </row>
    <row r="100">
      <c r="A100" s="52" t="n">
        <v>46309</v>
      </c>
      <c r="B100" s="4" t="inlineStr">
        <is>
          <t>Quarta</t>
        </is>
      </c>
      <c r="C100" s="4" t="n">
        <v>98</v>
      </c>
      <c r="D100" s="14" t="inlineStr">
        <is>
          <t>ARQUITETURA / BANCO DE DADOS</t>
        </is>
      </c>
      <c r="E100" s="15" t="inlineStr">
        <is>
          <t>REVISÃO 15 DIAS</t>
        </is>
      </c>
      <c r="F100" s="14" t="inlineStr">
        <is>
          <t>Normalização, integridade referencial e metadados</t>
        </is>
      </c>
      <c r="G100" s="15" t="inlineStr"/>
      <c r="H100" s="15" t="n"/>
      <c r="I100" s="15" t="n"/>
      <c r="J100" s="35" t="inlineStr">
        <is>
          <t>A FAZER</t>
        </is>
      </c>
    </row>
    <row r="101">
      <c r="A101" s="52" t="n">
        <v>46309</v>
      </c>
      <c r="B101" s="4" t="inlineStr">
        <is>
          <t>Quarta</t>
        </is>
      </c>
      <c r="C101" s="4" t="n">
        <v>99</v>
      </c>
      <c r="D101" s="12" t="inlineStr">
        <is>
          <t>ARQUITETURA / BANCO DE DADOS</t>
        </is>
      </c>
      <c r="E101" s="13" t="inlineStr">
        <is>
          <t>REVISÃO 7 DIAS</t>
        </is>
      </c>
      <c r="F101" s="12" t="inlineStr">
        <is>
          <t>Modelagem dimensional e avaliação de modelos</t>
        </is>
      </c>
      <c r="G101" s="13" t="inlineStr"/>
      <c r="H101" s="13" t="n"/>
      <c r="I101" s="13" t="n"/>
      <c r="J101" s="35" t="inlineStr">
        <is>
          <t>A FAZER</t>
        </is>
      </c>
    </row>
    <row r="102">
      <c r="A102" s="52" t="n">
        <v>46309</v>
      </c>
      <c r="B102" s="4" t="inlineStr">
        <is>
          <t>Quarta</t>
        </is>
      </c>
      <c r="C102" s="4" t="n">
        <v>100</v>
      </c>
      <c r="D102" s="8" t="inlineStr">
        <is>
          <t>LÍNGUA PORTUGUESA</t>
        </is>
      </c>
      <c r="E102" s="9" t="inlineStr">
        <is>
          <t>REVISÃO 24H</t>
        </is>
      </c>
      <c r="F102" s="8" t="inlineStr">
        <is>
          <t>Morfologia (classes de palavras) e funções do 'que'/'se'</t>
        </is>
      </c>
      <c r="G102" s="9" t="inlineStr"/>
      <c r="H102" s="9" t="n"/>
      <c r="I102" s="9" t="n"/>
      <c r="J102" s="35" t="inlineStr">
        <is>
          <t>A FAZER</t>
        </is>
      </c>
    </row>
    <row r="103">
      <c r="A103" s="53" t="n">
        <v>46310</v>
      </c>
      <c r="B103" s="6" t="inlineStr">
        <is>
          <t>Quinta</t>
        </is>
      </c>
      <c r="C103" s="6" t="n">
        <v>101</v>
      </c>
      <c r="D103" s="5" t="inlineStr">
        <is>
          <t>DIREITO ADMINISTRATIVO</t>
        </is>
      </c>
      <c r="E103" s="6" t="inlineStr">
        <is>
          <t>ESTUDO</t>
        </is>
      </c>
      <c r="F103" s="5" t="inlineStr">
        <is>
          <t>Responsabilidade Civil do Estado; Controle da Administração</t>
        </is>
      </c>
      <c r="G103" s="6" t="n">
        <v>120</v>
      </c>
      <c r="H103" s="6" t="n"/>
      <c r="I103" s="6" t="n"/>
      <c r="J103" s="35" t="inlineStr">
        <is>
          <t>A FAZER</t>
        </is>
      </c>
    </row>
    <row r="104">
      <c r="A104" s="53" t="n">
        <v>46310</v>
      </c>
      <c r="B104" s="6" t="inlineStr">
        <is>
          <t>Quinta</t>
        </is>
      </c>
      <c r="C104" s="6" t="n">
        <v>102</v>
      </c>
      <c r="D104" s="14" t="inlineStr">
        <is>
          <t>LÍNGUA PORTUGUESA</t>
        </is>
      </c>
      <c r="E104" s="15" t="inlineStr">
        <is>
          <t>REVISÃO 15 DIAS</t>
        </is>
      </c>
      <c r="F104" s="14" t="inlineStr">
        <is>
          <t>Ortografia, acentuação e uso da crase</t>
        </is>
      </c>
      <c r="G104" s="15" t="inlineStr"/>
      <c r="H104" s="15" t="n"/>
      <c r="I104" s="15" t="n"/>
      <c r="J104" s="35" t="inlineStr">
        <is>
          <t>A FAZER</t>
        </is>
      </c>
    </row>
    <row r="105">
      <c r="A105" s="53" t="n">
        <v>46310</v>
      </c>
      <c r="B105" s="6" t="inlineStr">
        <is>
          <t>Quinta</t>
        </is>
      </c>
      <c r="C105" s="6" t="n">
        <v>103</v>
      </c>
      <c r="D105" s="12" t="inlineStr">
        <is>
          <t>SEGURANÇA DA INFORMAÇÃO</t>
        </is>
      </c>
      <c r="E105" s="13" t="inlineStr">
        <is>
          <t>REVISÃO 7 DIAS</t>
        </is>
      </c>
      <c r="F105" s="12" t="inlineStr">
        <is>
          <t>SSO (Single Sign-On) e Autenticação Multifator (MFA)</t>
        </is>
      </c>
      <c r="G105" s="13" t="inlineStr"/>
      <c r="H105" s="13" t="n"/>
      <c r="I105" s="13" t="n"/>
      <c r="J105" s="35" t="inlineStr">
        <is>
          <t>A FAZER</t>
        </is>
      </c>
    </row>
    <row r="106">
      <c r="A106" s="53" t="n">
        <v>46310</v>
      </c>
      <c r="B106" s="6" t="inlineStr">
        <is>
          <t>Quinta</t>
        </is>
      </c>
      <c r="C106" s="6" t="n">
        <v>104</v>
      </c>
      <c r="D106" s="8" t="inlineStr">
        <is>
          <t>DIREITO CONSTITUCIONAL</t>
        </is>
      </c>
      <c r="E106" s="9" t="inlineStr">
        <is>
          <t>REVISÃO 24H</t>
        </is>
      </c>
      <c r="F106" s="8" t="inlineStr">
        <is>
          <t>Poder Constituinte e Princípios Fundamentais</t>
        </is>
      </c>
      <c r="G106" s="9" t="inlineStr"/>
      <c r="H106" s="9" t="n"/>
      <c r="I106" s="9" t="n"/>
      <c r="J106" s="35" t="inlineStr">
        <is>
          <t>A FAZER</t>
        </is>
      </c>
    </row>
    <row r="107">
      <c r="A107" s="52" t="n">
        <v>46311</v>
      </c>
      <c r="B107" s="4" t="inlineStr">
        <is>
          <t>Sexta</t>
        </is>
      </c>
      <c r="C107" s="4" t="n">
        <v>105</v>
      </c>
      <c r="D107" s="5" t="inlineStr">
        <is>
          <t>LEGISLAÇÃO INSTITUCIONAL MP</t>
        </is>
      </c>
      <c r="E107" s="6" t="inlineStr">
        <is>
          <t>ESTUDO</t>
        </is>
      </c>
      <c r="F107" s="5" t="inlineStr">
        <is>
          <t>Estatuto dos Funcionários Públicos do MS (Lei 1.102/1990)</t>
        </is>
      </c>
      <c r="G107" s="6" t="n">
        <v>120</v>
      </c>
      <c r="H107" s="6" t="n"/>
      <c r="I107" s="6" t="n"/>
      <c r="J107" s="35" t="inlineStr">
        <is>
          <t>A FAZER</t>
        </is>
      </c>
    </row>
    <row r="108">
      <c r="A108" s="52" t="n">
        <v>46311</v>
      </c>
      <c r="B108" s="4" t="inlineStr">
        <is>
          <t>Sexta</t>
        </is>
      </c>
      <c r="C108" s="4" t="n">
        <v>106</v>
      </c>
      <c r="D108" s="14" t="inlineStr">
        <is>
          <t>DIREITO CONSTITUCIONAL</t>
        </is>
      </c>
      <c r="E108" s="15" t="inlineStr">
        <is>
          <t>REVISÃO 15 DIAS</t>
        </is>
      </c>
      <c r="F108" s="14" t="inlineStr">
        <is>
          <t>Eficácia, aplicabilidade e interpretação das normas constitucionais</t>
        </is>
      </c>
      <c r="G108" s="15" t="inlineStr"/>
      <c r="H108" s="15" t="n"/>
      <c r="I108" s="15" t="n"/>
      <c r="J108" s="35" t="inlineStr">
        <is>
          <t>A FAZER</t>
        </is>
      </c>
    </row>
    <row r="109">
      <c r="A109" s="52" t="n">
        <v>46311</v>
      </c>
      <c r="B109" s="4" t="inlineStr">
        <is>
          <t>Sexta</t>
        </is>
      </c>
      <c r="C109" s="4" t="n">
        <v>107</v>
      </c>
      <c r="D109" s="12" t="inlineStr">
        <is>
          <t>ENGENHARIA DE SOFTWARE</t>
        </is>
      </c>
      <c r="E109" s="13" t="inlineStr">
        <is>
          <t>REVISÃO 7 DIAS</t>
        </is>
      </c>
      <c r="F109" s="12" t="inlineStr">
        <is>
          <t>Gerenciamento de ciclo de vida de aplicações; Integração contínua</t>
        </is>
      </c>
      <c r="G109" s="13" t="inlineStr"/>
      <c r="H109" s="13" t="n"/>
      <c r="I109" s="13" t="n"/>
      <c r="J109" s="35" t="inlineStr">
        <is>
          <t>A FAZER</t>
        </is>
      </c>
    </row>
    <row r="110">
      <c r="A110" s="52" t="n">
        <v>46311</v>
      </c>
      <c r="B110" s="4" t="inlineStr">
        <is>
          <t>Sexta</t>
        </is>
      </c>
      <c r="C110" s="4" t="n">
        <v>108</v>
      </c>
      <c r="D110" s="8" t="inlineStr">
        <is>
          <t>DIREITO ADMINISTRATIVO</t>
        </is>
      </c>
      <c r="E110" s="9" t="inlineStr">
        <is>
          <t>REVISÃO 24H</t>
        </is>
      </c>
      <c r="F110" s="8" t="inlineStr">
        <is>
          <t>Responsabilidade Civil do Estado; Controle da Administração</t>
        </is>
      </c>
      <c r="G110" s="9" t="inlineStr"/>
      <c r="H110" s="9" t="n"/>
      <c r="I110" s="9" t="n"/>
      <c r="J110" s="35" t="inlineStr">
        <is>
          <t>A FAZER</t>
        </is>
      </c>
    </row>
    <row r="111">
      <c r="A111" s="53" t="n">
        <v>46312</v>
      </c>
      <c r="B111" s="6" t="inlineStr">
        <is>
          <t>Sábado</t>
        </is>
      </c>
      <c r="C111" s="6" t="n">
        <v>109</v>
      </c>
      <c r="D111" s="5" t="inlineStr">
        <is>
          <t>ENGENHARIA DE SOFTWARE</t>
        </is>
      </c>
      <c r="E111" s="6" t="inlineStr">
        <is>
          <t>ESTUDO</t>
        </is>
      </c>
      <c r="F111" s="5" t="inlineStr">
        <is>
          <t>Requisitos: elicitação, histórias de usuário, MVP, prototipação, personas</t>
        </is>
      </c>
      <c r="G111" s="6" t="n">
        <v>120</v>
      </c>
      <c r="H111" s="6" t="n"/>
      <c r="I111" s="6" t="n"/>
      <c r="J111" s="35" t="inlineStr">
        <is>
          <t>A FAZER</t>
        </is>
      </c>
    </row>
    <row r="112">
      <c r="A112" s="53" t="n">
        <v>46312</v>
      </c>
      <c r="B112" s="6" t="inlineStr">
        <is>
          <t>Sábado</t>
        </is>
      </c>
      <c r="C112" s="6" t="n">
        <v>110</v>
      </c>
      <c r="D112" s="5" t="inlineStr">
        <is>
          <t>ARQUITETURA DE SOFTWARE</t>
        </is>
      </c>
      <c r="E112" s="6" t="inlineStr">
        <is>
          <t>ESTUDO</t>
        </is>
      </c>
      <c r="F112" s="5" t="inlineStr">
        <is>
          <t>Frameworks de persistência (ORM); serviços de mensageria</t>
        </is>
      </c>
      <c r="G112" s="6" t="n">
        <v>120</v>
      </c>
      <c r="H112" s="6" t="n"/>
      <c r="I112" s="6" t="n"/>
      <c r="J112" s="35" t="inlineStr">
        <is>
          <t>A FAZER</t>
        </is>
      </c>
    </row>
    <row r="113">
      <c r="A113" s="53" t="n">
        <v>46312</v>
      </c>
      <c r="B113" s="6" t="inlineStr">
        <is>
          <t>Sábado</t>
        </is>
      </c>
      <c r="C113" s="6" t="n">
        <v>111</v>
      </c>
      <c r="D113" s="14" t="inlineStr">
        <is>
          <t>DIREITO ADMINISTRATIVO</t>
        </is>
      </c>
      <c r="E113" s="15" t="inlineStr">
        <is>
          <t>REVISÃO 15 DIAS</t>
        </is>
      </c>
      <c r="F113" s="14" t="inlineStr">
        <is>
          <t>Organização Administrativa e Atos Administrativos</t>
        </is>
      </c>
      <c r="G113" s="15" t="inlineStr"/>
      <c r="H113" s="15" t="n"/>
      <c r="I113" s="15" t="n"/>
      <c r="J113" s="35" t="inlineStr">
        <is>
          <t>A FAZER</t>
        </is>
      </c>
    </row>
    <row r="114">
      <c r="A114" s="53" t="n">
        <v>46312</v>
      </c>
      <c r="B114" s="6" t="inlineStr">
        <is>
          <t>Sábado</t>
        </is>
      </c>
      <c r="C114" s="6" t="n">
        <v>112</v>
      </c>
      <c r="D114" s="12" t="inlineStr">
        <is>
          <t>ARQUITETURA DE SOFTWARE</t>
        </is>
      </c>
      <c r="E114" s="13" t="inlineStr">
        <is>
          <t>REVISÃO 7 DIAS</t>
        </is>
      </c>
      <c r="F114" s="12" t="inlineStr">
        <is>
          <t>Conteinerização; servidores de aplicação</t>
        </is>
      </c>
      <c r="G114" s="13" t="inlineStr"/>
      <c r="H114" s="13" t="n"/>
      <c r="I114" s="13" t="n"/>
      <c r="J114" s="35" t="inlineStr">
        <is>
          <t>A FAZER</t>
        </is>
      </c>
    </row>
    <row r="115">
      <c r="A115" s="53" t="n">
        <v>46312</v>
      </c>
      <c r="B115" s="6" t="inlineStr">
        <is>
          <t>Sábado</t>
        </is>
      </c>
      <c r="C115" s="6" t="n">
        <v>113</v>
      </c>
      <c r="D115" s="12" t="inlineStr">
        <is>
          <t>LINGUAGENS DE PROGRAMAÇÃO</t>
        </is>
      </c>
      <c r="E115" s="13" t="inlineStr">
        <is>
          <t>REVISÃO 7 DIAS</t>
        </is>
      </c>
      <c r="F115" s="12" t="inlineStr">
        <is>
          <t>Coleções, tipos genéricos, threads e escalonamento</t>
        </is>
      </c>
      <c r="G115" s="13" t="inlineStr"/>
      <c r="H115" s="13" t="n"/>
      <c r="I115" s="13" t="n"/>
      <c r="J115" s="35" t="inlineStr">
        <is>
          <t>A FAZER</t>
        </is>
      </c>
    </row>
    <row r="116">
      <c r="A116" s="53" t="n">
        <v>46312</v>
      </c>
      <c r="B116" s="6" t="inlineStr">
        <is>
          <t>Sábado</t>
        </is>
      </c>
      <c r="C116" s="6" t="n">
        <v>114</v>
      </c>
      <c r="D116" s="8" t="inlineStr">
        <is>
          <t>LEGISLAÇÃO INSTITUCIONAL MP</t>
        </is>
      </c>
      <c r="E116" s="9" t="inlineStr">
        <is>
          <t>REVISÃO 24H</t>
        </is>
      </c>
      <c r="F116" s="8" t="inlineStr">
        <is>
          <t>Estatuto dos Funcionários Públicos do MS (Lei 1.102/1990)</t>
        </is>
      </c>
      <c r="G116" s="9" t="inlineStr"/>
      <c r="H116" s="9" t="n"/>
      <c r="I116" s="9" t="n"/>
      <c r="J116" s="35" t="inlineStr">
        <is>
          <t>A FAZER</t>
        </is>
      </c>
    </row>
    <row r="117">
      <c r="A117" s="52" t="n">
        <v>46313</v>
      </c>
      <c r="B117" s="4" t="inlineStr">
        <is>
          <t>Domingo</t>
        </is>
      </c>
      <c r="C117" s="4" t="n">
        <v>115</v>
      </c>
      <c r="D117" s="5" t="inlineStr">
        <is>
          <t>LINGUAGENS DE PROGRAMAÇÃO</t>
        </is>
      </c>
      <c r="E117" s="6" t="inlineStr">
        <is>
          <t>ESTUDO</t>
        </is>
      </c>
      <c r="F117" s="5" t="inlineStr">
        <is>
          <t>Tratamento de exceções e anotações</t>
        </is>
      </c>
      <c r="G117" s="6" t="n">
        <v>120</v>
      </c>
      <c r="H117" s="6" t="n"/>
      <c r="I117" s="6" t="n"/>
      <c r="J117" s="35" t="inlineStr">
        <is>
          <t>A FAZER</t>
        </is>
      </c>
    </row>
    <row r="118">
      <c r="A118" s="52" t="n">
        <v>46313</v>
      </c>
      <c r="B118" s="4" t="inlineStr">
        <is>
          <t>Domingo</t>
        </is>
      </c>
      <c r="C118" s="4" t="n">
        <v>116</v>
      </c>
      <c r="D118" s="10" t="inlineStr">
        <is>
          <t>QUALIDADE DE SOFTWARE</t>
        </is>
      </c>
      <c r="E118" s="11" t="inlineStr">
        <is>
          <t>SIMULADO</t>
        </is>
      </c>
      <c r="F118" s="10" t="inlineStr">
        <is>
          <t>Simulado misto (questões de todas as matérias da semana)</t>
        </is>
      </c>
      <c r="G118" s="11" t="n">
        <v>120</v>
      </c>
      <c r="H118" s="11" t="n"/>
      <c r="I118" s="11" t="n"/>
      <c r="J118" s="35" t="inlineStr">
        <is>
          <t>A FAZER</t>
        </is>
      </c>
    </row>
    <row r="119">
      <c r="A119" s="52" t="n">
        <v>46313</v>
      </c>
      <c r="B119" s="4" t="inlineStr">
        <is>
          <t>Domingo</t>
        </is>
      </c>
      <c r="C119" s="4" t="n">
        <v>117</v>
      </c>
      <c r="D119" s="16" t="inlineStr">
        <is>
          <t>LÍNGUA PORTUGUESA</t>
        </is>
      </c>
      <c r="E119" s="17" t="inlineStr">
        <is>
          <t>REVISÃO 30 DIAS</t>
        </is>
      </c>
      <c r="F119" s="16" t="inlineStr">
        <is>
          <t>Interpretação de texto, tipologia e gêneros textuais</t>
        </is>
      </c>
      <c r="G119" s="17" t="inlineStr"/>
      <c r="H119" s="17" t="n"/>
      <c r="I119" s="17" t="n"/>
      <c r="J119" s="35" t="inlineStr">
        <is>
          <t>A FAZER</t>
        </is>
      </c>
    </row>
    <row r="120">
      <c r="A120" s="52" t="n">
        <v>46313</v>
      </c>
      <c r="B120" s="4" t="inlineStr">
        <is>
          <t>Domingo</t>
        </is>
      </c>
      <c r="C120" s="4" t="n">
        <v>118</v>
      </c>
      <c r="D120" s="14" t="inlineStr">
        <is>
          <t>LEGISLAÇÃO INSTITUCIONAL MP</t>
        </is>
      </c>
      <c r="E120" s="15" t="inlineStr">
        <is>
          <t>REVISÃO 15 DIAS</t>
        </is>
      </c>
      <c r="F120" s="14" t="inlineStr">
        <is>
          <t>Lei Orgânica do MPMS (LC Estadual 72/1994)</t>
        </is>
      </c>
      <c r="G120" s="15" t="inlineStr"/>
      <c r="H120" s="15" t="n"/>
      <c r="I120" s="15" t="n"/>
      <c r="J120" s="35" t="inlineStr">
        <is>
          <t>A FAZER</t>
        </is>
      </c>
    </row>
    <row r="121">
      <c r="A121" s="52" t="n">
        <v>46313</v>
      </c>
      <c r="B121" s="4" t="inlineStr">
        <is>
          <t>Domingo</t>
        </is>
      </c>
      <c r="C121" s="4" t="n">
        <v>119</v>
      </c>
      <c r="D121" s="14" t="inlineStr">
        <is>
          <t>ENGENHARIA DE SOFTWARE</t>
        </is>
      </c>
      <c r="E121" s="15" t="inlineStr">
        <is>
          <t>REVISÃO 15 DIAS</t>
        </is>
      </c>
      <c r="F121" s="14" t="inlineStr">
        <is>
          <t>Processos interativo/incremental; práticas ágeis; TDD</t>
        </is>
      </c>
      <c r="G121" s="15" t="inlineStr"/>
      <c r="H121" s="15" t="n"/>
      <c r="I121" s="15" t="n"/>
      <c r="J121" s="35" t="inlineStr">
        <is>
          <t>A FAZER</t>
        </is>
      </c>
    </row>
    <row r="122">
      <c r="A122" s="52" t="n">
        <v>46313</v>
      </c>
      <c r="B122" s="4" t="inlineStr">
        <is>
          <t>Domingo</t>
        </is>
      </c>
      <c r="C122" s="4" t="n">
        <v>120</v>
      </c>
      <c r="D122" s="12" t="inlineStr">
        <is>
          <t>ESTRUTURA DE DADOS E ALGORITMOS</t>
        </is>
      </c>
      <c r="E122" s="13" t="inlineStr">
        <is>
          <t>REVISÃO 7 DIAS</t>
        </is>
      </c>
      <c r="F122" s="12" t="inlineStr">
        <is>
          <t>Listas lineares, encadeadas, vetores e matrizes</t>
        </is>
      </c>
      <c r="G122" s="13" t="inlineStr"/>
      <c r="H122" s="13" t="n"/>
      <c r="I122" s="13" t="n"/>
      <c r="J122" s="35" t="inlineStr">
        <is>
          <t>A FAZER</t>
        </is>
      </c>
    </row>
    <row r="123">
      <c r="A123" s="52" t="n">
        <v>46313</v>
      </c>
      <c r="B123" s="4" t="inlineStr">
        <is>
          <t>Domingo</t>
        </is>
      </c>
      <c r="C123" s="4" t="n">
        <v>121</v>
      </c>
      <c r="D123" s="8" t="inlineStr">
        <is>
          <t>ENGENHARIA DE SOFTWARE</t>
        </is>
      </c>
      <c r="E123" s="9" t="inlineStr">
        <is>
          <t>REVISÃO 24H</t>
        </is>
      </c>
      <c r="F123" s="8" t="inlineStr">
        <is>
          <t>Requisitos: elicitação, histórias de usuário, MVP, prototipação, personas</t>
        </is>
      </c>
      <c r="G123" s="9" t="inlineStr"/>
      <c r="H123" s="9" t="n"/>
      <c r="I123" s="9" t="n"/>
      <c r="J123" s="35" t="inlineStr">
        <is>
          <t>A FAZER</t>
        </is>
      </c>
    </row>
    <row r="124">
      <c r="A124" s="52" t="n">
        <v>46313</v>
      </c>
      <c r="B124" s="4" t="inlineStr">
        <is>
          <t>Domingo</t>
        </is>
      </c>
      <c r="C124" s="4" t="n">
        <v>122</v>
      </c>
      <c r="D124" s="8" t="inlineStr">
        <is>
          <t>ARQUITETURA DE SOFTWARE</t>
        </is>
      </c>
      <c r="E124" s="9" t="inlineStr">
        <is>
          <t>REVISÃO 24H</t>
        </is>
      </c>
      <c r="F124" s="8" t="inlineStr">
        <is>
          <t>Frameworks de persistência (ORM); serviços de mensageria</t>
        </is>
      </c>
      <c r="G124" s="9" t="inlineStr"/>
      <c r="H124" s="9" t="n"/>
      <c r="I124" s="9" t="n"/>
      <c r="J124" s="35" t="inlineStr">
        <is>
          <t>A FAZER</t>
        </is>
      </c>
    </row>
    <row r="125">
      <c r="A125" s="53" t="n">
        <v>46314</v>
      </c>
      <c r="B125" s="6" t="inlineStr">
        <is>
          <t>Segunda</t>
        </is>
      </c>
      <c r="C125" s="6" t="n">
        <v>123</v>
      </c>
      <c r="D125" s="5" t="inlineStr">
        <is>
          <t>ESTRUTURA DE DADOS E ALGORITMOS</t>
        </is>
      </c>
      <c r="E125" s="6" t="inlineStr">
        <is>
          <t>ESTUDO</t>
        </is>
      </c>
      <c r="F125" s="5" t="inlineStr">
        <is>
          <t>Programação recursiva</t>
        </is>
      </c>
      <c r="G125" s="6" t="n">
        <v>120</v>
      </c>
      <c r="H125" s="6" t="n"/>
      <c r="I125" s="6" t="n"/>
      <c r="J125" s="35" t="inlineStr">
        <is>
          <t>A FAZER</t>
        </is>
      </c>
    </row>
    <row r="126">
      <c r="A126" s="53" t="n">
        <v>46314</v>
      </c>
      <c r="B126" s="6" t="inlineStr">
        <is>
          <t>Segunda</t>
        </is>
      </c>
      <c r="C126" s="6" t="n">
        <v>124</v>
      </c>
      <c r="D126" s="16" t="inlineStr">
        <is>
          <t>DIREITO CONSTITUCIONAL</t>
        </is>
      </c>
      <c r="E126" s="17" t="inlineStr">
        <is>
          <t>REVISÃO 30 DIAS</t>
        </is>
      </c>
      <c r="F126" s="16" t="inlineStr">
        <is>
          <t>Constitucionalismo, conceito e classificação das Constituições</t>
        </is>
      </c>
      <c r="G126" s="17" t="inlineStr"/>
      <c r="H126" s="17" t="n"/>
      <c r="I126" s="17" t="n"/>
      <c r="J126" s="35" t="inlineStr">
        <is>
          <t>A FAZER</t>
        </is>
      </c>
    </row>
    <row r="127">
      <c r="A127" s="53" t="n">
        <v>46314</v>
      </c>
      <c r="B127" s="6" t="inlineStr">
        <is>
          <t>Segunda</t>
        </is>
      </c>
      <c r="C127" s="6" t="n">
        <v>125</v>
      </c>
      <c r="D127" s="16" t="inlineStr">
        <is>
          <t>DIREITO ADMINISTRATIVO</t>
        </is>
      </c>
      <c r="E127" s="17" t="inlineStr">
        <is>
          <t>REVISÃO 30 DIAS</t>
        </is>
      </c>
      <c r="F127" s="16" t="inlineStr">
        <is>
          <t>Princípios e Poderes Administrativos</t>
        </is>
      </c>
      <c r="G127" s="17" t="inlineStr"/>
      <c r="H127" s="17" t="n"/>
      <c r="I127" s="17" t="n"/>
      <c r="J127" s="35" t="inlineStr">
        <is>
          <t>A FAZER</t>
        </is>
      </c>
    </row>
    <row r="128">
      <c r="A128" s="53" t="n">
        <v>46314</v>
      </c>
      <c r="B128" s="6" t="inlineStr">
        <is>
          <t>Segunda</t>
        </is>
      </c>
      <c r="C128" s="6" t="n">
        <v>126</v>
      </c>
      <c r="D128" s="14" t="inlineStr">
        <is>
          <t>ARQUITETURA DE SOFTWARE</t>
        </is>
      </c>
      <c r="E128" s="15" t="inlineStr">
        <is>
          <t>REVISÃO 15 DIAS</t>
        </is>
      </c>
      <c r="F128" s="14" t="inlineStr">
        <is>
          <t>Padrões de projeto (design patterns) e anti-patterns</t>
        </is>
      </c>
      <c r="G128" s="15" t="inlineStr"/>
      <c r="H128" s="15" t="n"/>
      <c r="I128" s="15" t="n"/>
      <c r="J128" s="35" t="inlineStr">
        <is>
          <t>A FAZER</t>
        </is>
      </c>
    </row>
    <row r="129">
      <c r="A129" s="53" t="n">
        <v>46314</v>
      </c>
      <c r="B129" s="6" t="inlineStr">
        <is>
          <t>Segunda</t>
        </is>
      </c>
      <c r="C129" s="6" t="n">
        <v>127</v>
      </c>
      <c r="D129" s="8" t="inlineStr">
        <is>
          <t>LINGUAGENS DE PROGRAMAÇÃO</t>
        </is>
      </c>
      <c r="E129" s="9" t="inlineStr">
        <is>
          <t>REVISÃO 24H</t>
        </is>
      </c>
      <c r="F129" s="8" t="inlineStr">
        <is>
          <t>Tratamento de exceções e anotações</t>
        </is>
      </c>
      <c r="G129" s="9" t="inlineStr"/>
      <c r="H129" s="9" t="n"/>
      <c r="I129" s="9" t="n"/>
      <c r="J129" s="35" t="inlineStr">
        <is>
          <t>A FAZER</t>
        </is>
      </c>
    </row>
    <row r="130">
      <c r="A130" s="52" t="n">
        <v>46315</v>
      </c>
      <c r="B130" s="4" t="inlineStr">
        <is>
          <t>Terça</t>
        </is>
      </c>
      <c r="C130" s="4" t="n">
        <v>128</v>
      </c>
      <c r="D130" s="5" t="inlineStr">
        <is>
          <t>ARQUITETURA / BANCO DE DADOS</t>
        </is>
      </c>
      <c r="E130" s="6" t="inlineStr">
        <is>
          <t>ESTUDO</t>
        </is>
      </c>
      <c r="F130" s="5" t="inlineStr">
        <is>
          <t>SQL: DDL, DML, DCL, DTL</t>
        </is>
      </c>
      <c r="G130" s="6" t="n">
        <v>120</v>
      </c>
      <c r="H130" s="6" t="n"/>
      <c r="I130" s="6" t="n"/>
      <c r="J130" s="35" t="inlineStr">
        <is>
          <t>A FAZER</t>
        </is>
      </c>
    </row>
    <row r="131">
      <c r="A131" s="52" t="n">
        <v>46315</v>
      </c>
      <c r="B131" s="4" t="inlineStr">
        <is>
          <t>Terça</t>
        </is>
      </c>
      <c r="C131" s="4" t="n">
        <v>129</v>
      </c>
      <c r="D131" s="16" t="inlineStr">
        <is>
          <t>LEGISLAÇÃO INSTITUCIONAL MP</t>
        </is>
      </c>
      <c r="E131" s="17" t="inlineStr">
        <is>
          <t>REVISÃO 30 DIAS</t>
        </is>
      </c>
      <c r="F131" s="16" t="inlineStr">
        <is>
          <t>Lei Orgânica Nacional do MP (Lei 8.625/93)</t>
        </is>
      </c>
      <c r="G131" s="17" t="inlineStr"/>
      <c r="H131" s="17" t="n"/>
      <c r="I131" s="17" t="n"/>
      <c r="J131" s="35" t="inlineStr">
        <is>
          <t>A FAZER</t>
        </is>
      </c>
    </row>
    <row r="132">
      <c r="A132" s="52" t="n">
        <v>46315</v>
      </c>
      <c r="B132" s="4" t="inlineStr">
        <is>
          <t>Terça</t>
        </is>
      </c>
      <c r="C132" s="4" t="n">
        <v>130</v>
      </c>
      <c r="D132" s="14" t="inlineStr">
        <is>
          <t>QUALIDADE DE SOFTWARE</t>
        </is>
      </c>
      <c r="E132" s="15" t="inlineStr">
        <is>
          <t>REVISÃO 15 DIAS</t>
        </is>
      </c>
      <c r="F132" s="14" t="inlineStr">
        <is>
          <t>Testes: unitário, integração, funcional, aceitação</t>
        </is>
      </c>
      <c r="G132" s="15" t="inlineStr"/>
      <c r="H132" s="15" t="n"/>
      <c r="I132" s="15" t="n"/>
      <c r="J132" s="35" t="inlineStr">
        <is>
          <t>A FAZER</t>
        </is>
      </c>
    </row>
    <row r="133">
      <c r="A133" s="52" t="n">
        <v>46315</v>
      </c>
      <c r="B133" s="4" t="inlineStr">
        <is>
          <t>Terça</t>
        </is>
      </c>
      <c r="C133" s="4" t="n">
        <v>131</v>
      </c>
      <c r="D133" s="12" t="inlineStr">
        <is>
          <t>LÍNGUA PORTUGUESA</t>
        </is>
      </c>
      <c r="E133" s="13" t="inlineStr">
        <is>
          <t>REVISÃO 7 DIAS</t>
        </is>
      </c>
      <c r="F133" s="12" t="inlineStr">
        <is>
          <t>Morfologia (classes de palavras) e funções do 'que'/'se'</t>
        </is>
      </c>
      <c r="G133" s="13" t="inlineStr"/>
      <c r="H133" s="13" t="n"/>
      <c r="I133" s="13" t="n"/>
      <c r="J133" s="35" t="inlineStr">
        <is>
          <t>A FAZER</t>
        </is>
      </c>
    </row>
    <row r="134">
      <c r="A134" s="52" t="n">
        <v>46315</v>
      </c>
      <c r="B134" s="4" t="inlineStr">
        <is>
          <t>Terça</t>
        </is>
      </c>
      <c r="C134" s="4" t="n">
        <v>132</v>
      </c>
      <c r="D134" s="8" t="inlineStr">
        <is>
          <t>ESTRUTURA DE DADOS E ALGORITMOS</t>
        </is>
      </c>
      <c r="E134" s="9" t="inlineStr">
        <is>
          <t>REVISÃO 24H</t>
        </is>
      </c>
      <c r="F134" s="8" t="inlineStr">
        <is>
          <t>Programação recursiva</t>
        </is>
      </c>
      <c r="G134" s="9" t="inlineStr"/>
      <c r="H134" s="9" t="n"/>
      <c r="I134" s="9" t="n"/>
      <c r="J134" s="35" t="inlineStr">
        <is>
          <t>A FAZER</t>
        </is>
      </c>
    </row>
    <row r="135">
      <c r="A135" s="53" t="n">
        <v>46316</v>
      </c>
      <c r="B135" s="6" t="inlineStr">
        <is>
          <t>Quarta</t>
        </is>
      </c>
      <c r="C135" s="6" t="n">
        <v>133</v>
      </c>
      <c r="D135" s="5" t="inlineStr">
        <is>
          <t>SEGURANÇA DA INFORMAÇÃO</t>
        </is>
      </c>
      <c r="E135" s="6" t="inlineStr">
        <is>
          <t>ESTUDO</t>
        </is>
      </c>
      <c r="F135" s="5" t="inlineStr">
        <is>
          <t>Gestão de identidade e acesso (autenticação, autorização, auditoria)</t>
        </is>
      </c>
      <c r="G135" s="6" t="n">
        <v>120</v>
      </c>
      <c r="H135" s="6" t="n"/>
      <c r="I135" s="6" t="n"/>
      <c r="J135" s="35" t="inlineStr">
        <is>
          <t>A FAZER</t>
        </is>
      </c>
    </row>
    <row r="136">
      <c r="A136" s="53" t="n">
        <v>46316</v>
      </c>
      <c r="B136" s="6" t="inlineStr">
        <is>
          <t>Quarta</t>
        </is>
      </c>
      <c r="C136" s="6" t="n">
        <v>134</v>
      </c>
      <c r="D136" s="16" t="inlineStr">
        <is>
          <t>ARQUITETURA DE SOFTWARE</t>
        </is>
      </c>
      <c r="E136" s="17" t="inlineStr">
        <is>
          <t>REVISÃO 30 DIAS</t>
        </is>
      </c>
      <c r="F136" s="16" t="inlineStr">
        <is>
          <t>Padrão MVC; Microsserviços; Arquitetura orientada a eventos</t>
        </is>
      </c>
      <c r="G136" s="17" t="inlineStr"/>
      <c r="H136" s="17" t="n"/>
      <c r="I136" s="17" t="n"/>
      <c r="J136" s="35" t="inlineStr">
        <is>
          <t>A FAZER</t>
        </is>
      </c>
    </row>
    <row r="137">
      <c r="A137" s="53" t="n">
        <v>46316</v>
      </c>
      <c r="B137" s="6" t="inlineStr">
        <is>
          <t>Quarta</t>
        </is>
      </c>
      <c r="C137" s="6" t="n">
        <v>135</v>
      </c>
      <c r="D137" s="14" t="inlineStr">
        <is>
          <t>ESTRUTURA DE DADOS E ALGORITMOS</t>
        </is>
      </c>
      <c r="E137" s="15" t="inlineStr">
        <is>
          <t>REVISÃO 15 DIAS</t>
        </is>
      </c>
      <c r="F137" s="14" t="inlineStr">
        <is>
          <t>Algoritmos de pesquisa e ordenação</t>
        </is>
      </c>
      <c r="G137" s="15" t="inlineStr"/>
      <c r="H137" s="15" t="n"/>
      <c r="I137" s="15" t="n"/>
      <c r="J137" s="35" t="inlineStr">
        <is>
          <t>A FAZER</t>
        </is>
      </c>
    </row>
    <row r="138">
      <c r="A138" s="53" t="n">
        <v>46316</v>
      </c>
      <c r="B138" s="6" t="inlineStr">
        <is>
          <t>Quarta</t>
        </is>
      </c>
      <c r="C138" s="6" t="n">
        <v>136</v>
      </c>
      <c r="D138" s="12" t="inlineStr">
        <is>
          <t>DIREITO CONSTITUCIONAL</t>
        </is>
      </c>
      <c r="E138" s="13" t="inlineStr">
        <is>
          <t>REVISÃO 7 DIAS</t>
        </is>
      </c>
      <c r="F138" s="12" t="inlineStr">
        <is>
          <t>Poder Constituinte e Princípios Fundamentais</t>
        </is>
      </c>
      <c r="G138" s="13" t="inlineStr"/>
      <c r="H138" s="13" t="n"/>
      <c r="I138" s="13" t="n"/>
      <c r="J138" s="35" t="inlineStr">
        <is>
          <t>A FAZER</t>
        </is>
      </c>
    </row>
    <row r="139">
      <c r="A139" s="53" t="n">
        <v>46316</v>
      </c>
      <c r="B139" s="6" t="inlineStr">
        <is>
          <t>Quarta</t>
        </is>
      </c>
      <c r="C139" s="6" t="n">
        <v>137</v>
      </c>
      <c r="D139" s="8" t="inlineStr">
        <is>
          <t>ARQUITETURA / BANCO DE DADOS</t>
        </is>
      </c>
      <c r="E139" s="9" t="inlineStr">
        <is>
          <t>REVISÃO 24H</t>
        </is>
      </c>
      <c r="F139" s="8" t="inlineStr">
        <is>
          <t>SQL: DDL, DML, DCL, DTL</t>
        </is>
      </c>
      <c r="G139" s="9" t="inlineStr"/>
      <c r="H139" s="9" t="n"/>
      <c r="I139" s="9" t="n"/>
      <c r="J139" s="35" t="inlineStr">
        <is>
          <t>A FAZER</t>
        </is>
      </c>
    </row>
    <row r="140">
      <c r="A140" s="52" t="n">
        <v>46317</v>
      </c>
      <c r="B140" s="4" t="inlineStr">
        <is>
          <t>Quinta</t>
        </is>
      </c>
      <c r="C140" s="4" t="n">
        <v>138</v>
      </c>
      <c r="D140" s="5" t="inlineStr">
        <is>
          <t>ENGENHARIA DE SOFTWARE</t>
        </is>
      </c>
      <c r="E140" s="6" t="inlineStr">
        <is>
          <t>ESTUDO</t>
        </is>
      </c>
      <c r="F140" s="5" t="inlineStr">
        <is>
          <t>Diagrama Entidade-Relacionamento (ER) e modelagem</t>
        </is>
      </c>
      <c r="G140" s="6" t="n">
        <v>120</v>
      </c>
      <c r="H140" s="6" t="n"/>
      <c r="I140" s="6" t="n"/>
      <c r="J140" s="35" t="inlineStr">
        <is>
          <t>A FAZER</t>
        </is>
      </c>
    </row>
    <row r="141">
      <c r="A141" s="52" t="n">
        <v>46317</v>
      </c>
      <c r="B141" s="4" t="inlineStr">
        <is>
          <t>Quinta</t>
        </is>
      </c>
      <c r="C141" s="4" t="n">
        <v>139</v>
      </c>
      <c r="D141" s="16" t="inlineStr">
        <is>
          <t>LINGUAGENS DE PROGRAMAÇÃO</t>
        </is>
      </c>
      <c r="E141" s="17" t="inlineStr">
        <is>
          <t>REVISÃO 30 DIAS</t>
        </is>
      </c>
      <c r="F141" s="16" t="inlineStr">
        <is>
          <t>Orientação a Objetos: pilares e características estruturais</t>
        </is>
      </c>
      <c r="G141" s="17" t="inlineStr"/>
      <c r="H141" s="17" t="n"/>
      <c r="I141" s="17" t="n"/>
      <c r="J141" s="35" t="inlineStr">
        <is>
          <t>A FAZER</t>
        </is>
      </c>
    </row>
    <row r="142">
      <c r="A142" s="52" t="n">
        <v>46317</v>
      </c>
      <c r="B142" s="4" t="inlineStr">
        <is>
          <t>Quinta</t>
        </is>
      </c>
      <c r="C142" s="4" t="n">
        <v>140</v>
      </c>
      <c r="D142" s="14" t="inlineStr">
        <is>
          <t>ARQUITETURA / BANCO DE DADOS</t>
        </is>
      </c>
      <c r="E142" s="15" t="inlineStr">
        <is>
          <t>REVISÃO 15 DIAS</t>
        </is>
      </c>
      <c r="F142" s="14" t="inlineStr">
        <is>
          <t>Modelagem dimensional e avaliação de modelos</t>
        </is>
      </c>
      <c r="G142" s="15" t="inlineStr"/>
      <c r="H142" s="15" t="n"/>
      <c r="I142" s="15" t="n"/>
      <c r="J142" s="35" t="inlineStr">
        <is>
          <t>A FAZER</t>
        </is>
      </c>
    </row>
    <row r="143">
      <c r="A143" s="52" t="n">
        <v>46317</v>
      </c>
      <c r="B143" s="4" t="inlineStr">
        <is>
          <t>Quinta</t>
        </is>
      </c>
      <c r="C143" s="4" t="n">
        <v>141</v>
      </c>
      <c r="D143" s="12" t="inlineStr">
        <is>
          <t>DIREITO ADMINISTRATIVO</t>
        </is>
      </c>
      <c r="E143" s="13" t="inlineStr">
        <is>
          <t>REVISÃO 7 DIAS</t>
        </is>
      </c>
      <c r="F143" s="12" t="inlineStr">
        <is>
          <t>Responsabilidade Civil do Estado; Controle da Administração</t>
        </is>
      </c>
      <c r="G143" s="13" t="inlineStr"/>
      <c r="H143" s="13" t="n"/>
      <c r="I143" s="13" t="n"/>
      <c r="J143" s="35" t="inlineStr">
        <is>
          <t>A FAZER</t>
        </is>
      </c>
    </row>
    <row r="144">
      <c r="A144" s="52" t="n">
        <v>46317</v>
      </c>
      <c r="B144" s="4" t="inlineStr">
        <is>
          <t>Quinta</t>
        </is>
      </c>
      <c r="C144" s="4" t="n">
        <v>142</v>
      </c>
      <c r="D144" s="8" t="inlineStr">
        <is>
          <t>SEGURANÇA DA INFORMAÇÃO</t>
        </is>
      </c>
      <c r="E144" s="9" t="inlineStr">
        <is>
          <t>REVISÃO 24H</t>
        </is>
      </c>
      <c r="F144" s="8" t="inlineStr">
        <is>
          <t>Gestão de identidade e acesso (autenticação, autorização, auditoria)</t>
        </is>
      </c>
      <c r="G144" s="9" t="inlineStr"/>
      <c r="H144" s="9" t="n"/>
      <c r="I144" s="9" t="n"/>
      <c r="J144" s="35" t="inlineStr">
        <is>
          <t>A FAZER</t>
        </is>
      </c>
    </row>
    <row r="145">
      <c r="A145" s="53" t="n">
        <v>46318</v>
      </c>
      <c r="B145" s="6" t="inlineStr">
        <is>
          <t>Sexta</t>
        </is>
      </c>
      <c r="C145" s="6" t="n">
        <v>143</v>
      </c>
      <c r="D145" s="5" t="inlineStr">
        <is>
          <t>ARQUITETURA DE SOFTWARE</t>
        </is>
      </c>
      <c r="E145" s="6" t="inlineStr">
        <is>
          <t>ESTUDO</t>
        </is>
      </c>
      <c r="F145" s="5" t="inlineStr">
        <is>
          <t>Padrões SOAP, REST, XML, XSLT, WSDL, JSON, RMI</t>
        </is>
      </c>
      <c r="G145" s="6" t="n">
        <v>120</v>
      </c>
      <c r="H145" s="6" t="n"/>
      <c r="I145" s="6" t="n"/>
      <c r="J145" s="35" t="inlineStr">
        <is>
          <t>A FAZER</t>
        </is>
      </c>
    </row>
    <row r="146">
      <c r="A146" s="53" t="n">
        <v>46318</v>
      </c>
      <c r="B146" s="6" t="inlineStr">
        <is>
          <t>Sexta</t>
        </is>
      </c>
      <c r="C146" s="6" t="n">
        <v>144</v>
      </c>
      <c r="D146" s="16" t="inlineStr">
        <is>
          <t>QUALIDADE DE SOFTWARE</t>
        </is>
      </c>
      <c r="E146" s="17" t="inlineStr">
        <is>
          <t>REVISÃO 30 DIAS</t>
        </is>
      </c>
      <c r="F146" s="16" t="inlineStr">
        <is>
          <t>Garantia da qualidade e métricas de código</t>
        </is>
      </c>
      <c r="G146" s="17" t="inlineStr"/>
      <c r="H146" s="17" t="n"/>
      <c r="I146" s="17" t="n"/>
      <c r="J146" s="35" t="inlineStr">
        <is>
          <t>A FAZER</t>
        </is>
      </c>
    </row>
    <row r="147">
      <c r="A147" s="53" t="n">
        <v>46318</v>
      </c>
      <c r="B147" s="6" t="inlineStr">
        <is>
          <t>Sexta</t>
        </is>
      </c>
      <c r="C147" s="6" t="n">
        <v>145</v>
      </c>
      <c r="D147" s="14" t="inlineStr">
        <is>
          <t>SEGURANÇA DA INFORMAÇÃO</t>
        </is>
      </c>
      <c r="E147" s="15" t="inlineStr">
        <is>
          <t>REVISÃO 15 DIAS</t>
        </is>
      </c>
      <c r="F147" s="14" t="inlineStr">
        <is>
          <t>SSO (Single Sign-On) e Autenticação Multifator (MFA)</t>
        </is>
      </c>
      <c r="G147" s="15" t="inlineStr"/>
      <c r="H147" s="15" t="n"/>
      <c r="I147" s="15" t="n"/>
      <c r="J147" s="35" t="inlineStr">
        <is>
          <t>A FAZER</t>
        </is>
      </c>
    </row>
    <row r="148">
      <c r="A148" s="53" t="n">
        <v>46318</v>
      </c>
      <c r="B148" s="6" t="inlineStr">
        <is>
          <t>Sexta</t>
        </is>
      </c>
      <c r="C148" s="6" t="n">
        <v>146</v>
      </c>
      <c r="D148" s="12" t="inlineStr">
        <is>
          <t>LEGISLAÇÃO INSTITUCIONAL MP</t>
        </is>
      </c>
      <c r="E148" s="13" t="inlineStr">
        <is>
          <t>REVISÃO 7 DIAS</t>
        </is>
      </c>
      <c r="F148" s="12" t="inlineStr">
        <is>
          <t>Estatuto dos Funcionários Públicos do MS (Lei 1.102/1990)</t>
        </is>
      </c>
      <c r="G148" s="13" t="inlineStr"/>
      <c r="H148" s="13" t="n"/>
      <c r="I148" s="13" t="n"/>
      <c r="J148" s="35" t="inlineStr">
        <is>
          <t>A FAZER</t>
        </is>
      </c>
    </row>
    <row r="149">
      <c r="A149" s="53" t="n">
        <v>46318</v>
      </c>
      <c r="B149" s="6" t="inlineStr">
        <is>
          <t>Sexta</t>
        </is>
      </c>
      <c r="C149" s="6" t="n">
        <v>147</v>
      </c>
      <c r="D149" s="8" t="inlineStr">
        <is>
          <t>ENGENHARIA DE SOFTWARE</t>
        </is>
      </c>
      <c r="E149" s="9" t="inlineStr">
        <is>
          <t>REVISÃO 24H</t>
        </is>
      </c>
      <c r="F149" s="8" t="inlineStr">
        <is>
          <t>Diagrama Entidade-Relacionamento (ER) e modelagem</t>
        </is>
      </c>
      <c r="G149" s="9" t="inlineStr"/>
      <c r="H149" s="9" t="n"/>
      <c r="I149" s="9" t="n"/>
      <c r="J149" s="35" t="inlineStr">
        <is>
          <t>A FAZER</t>
        </is>
      </c>
    </row>
    <row r="150">
      <c r="A150" s="52" t="n">
        <v>46319</v>
      </c>
      <c r="B150" s="4" t="inlineStr">
        <is>
          <t>Sábado</t>
        </is>
      </c>
      <c r="C150" s="4" t="n">
        <v>148</v>
      </c>
      <c r="D150" s="5" t="inlineStr">
        <is>
          <t>LINGUAGENS DE PROGRAMAÇÃO</t>
        </is>
      </c>
      <c r="E150" s="6" t="inlineStr">
        <is>
          <t>ESTUDO</t>
        </is>
      </c>
      <c r="F150" s="5" t="inlineStr">
        <is>
          <t>HTML5, CSS3 e JavaScript</t>
        </is>
      </c>
      <c r="G150" s="6" t="n">
        <v>120</v>
      </c>
      <c r="H150" s="6" t="n"/>
      <c r="I150" s="6" t="n"/>
      <c r="J150" s="35" t="inlineStr">
        <is>
          <t>A FAZER</t>
        </is>
      </c>
    </row>
    <row r="151">
      <c r="A151" s="52" t="n">
        <v>46319</v>
      </c>
      <c r="B151" s="4" t="inlineStr">
        <is>
          <t>Sábado</t>
        </is>
      </c>
      <c r="C151" s="4" t="n">
        <v>149</v>
      </c>
      <c r="D151" s="5" t="inlineStr">
        <is>
          <t>ESTRUTURA DE DADOS E ALGORITMOS</t>
        </is>
      </c>
      <c r="E151" s="6" t="inlineStr">
        <is>
          <t>ESTUDO</t>
        </is>
      </c>
      <c r="F151" s="5" t="inlineStr">
        <is>
          <t>Tipos básicos e abstratos de dados (lista, fila, pilha, árvore)</t>
        </is>
      </c>
      <c r="G151" s="6" t="n">
        <v>120</v>
      </c>
      <c r="H151" s="6" t="n"/>
      <c r="I151" s="6" t="n"/>
      <c r="J151" s="35" t="inlineStr">
        <is>
          <t>A FAZER</t>
        </is>
      </c>
    </row>
    <row r="152">
      <c r="A152" s="52" t="n">
        <v>46319</v>
      </c>
      <c r="B152" s="4" t="inlineStr">
        <is>
          <t>Sábado</t>
        </is>
      </c>
      <c r="C152" s="4" t="n">
        <v>150</v>
      </c>
      <c r="D152" s="16" t="inlineStr">
        <is>
          <t>ESTRUTURA DE DADOS E ALGORITMOS</t>
        </is>
      </c>
      <c r="E152" s="17" t="inlineStr">
        <is>
          <t>REVISÃO 30 DIAS</t>
        </is>
      </c>
      <c r="F152" s="16" t="inlineStr">
        <is>
          <t>Tipos básicos e abstratos de dados (lista, fila, pilha, árvore)</t>
        </is>
      </c>
      <c r="G152" s="17" t="inlineStr"/>
      <c r="H152" s="17" t="n"/>
      <c r="I152" s="17" t="n"/>
      <c r="J152" s="35" t="inlineStr">
        <is>
          <t>A FAZER</t>
        </is>
      </c>
    </row>
    <row r="153">
      <c r="A153" s="52" t="n">
        <v>46319</v>
      </c>
      <c r="B153" s="4" t="inlineStr">
        <is>
          <t>Sábado</t>
        </is>
      </c>
      <c r="C153" s="4" t="n">
        <v>151</v>
      </c>
      <c r="D153" s="14" t="inlineStr">
        <is>
          <t>ENGENHARIA DE SOFTWARE</t>
        </is>
      </c>
      <c r="E153" s="15" t="inlineStr">
        <is>
          <t>REVISÃO 15 DIAS</t>
        </is>
      </c>
      <c r="F153" s="14" t="inlineStr">
        <is>
          <t>Gerenciamento de ciclo de vida de aplicações; Integração contínua</t>
        </is>
      </c>
      <c r="G153" s="15" t="inlineStr"/>
      <c r="H153" s="15" t="n"/>
      <c r="I153" s="15" t="n"/>
      <c r="J153" s="35" t="inlineStr">
        <is>
          <t>A FAZER</t>
        </is>
      </c>
    </row>
    <row r="154">
      <c r="A154" s="52" t="n">
        <v>46319</v>
      </c>
      <c r="B154" s="4" t="inlineStr">
        <is>
          <t>Sábado</t>
        </is>
      </c>
      <c r="C154" s="4" t="n">
        <v>152</v>
      </c>
      <c r="D154" s="12" t="inlineStr">
        <is>
          <t>ENGENHARIA DE SOFTWARE</t>
        </is>
      </c>
      <c r="E154" s="13" t="inlineStr">
        <is>
          <t>REVISÃO 7 DIAS</t>
        </is>
      </c>
      <c r="F154" s="12" t="inlineStr">
        <is>
          <t>Requisitos: elicitação, histórias de usuário, MVP, prototipação, personas</t>
        </is>
      </c>
      <c r="G154" s="13" t="inlineStr"/>
      <c r="H154" s="13" t="n"/>
      <c r="I154" s="13" t="n"/>
      <c r="J154" s="35" t="inlineStr">
        <is>
          <t>A FAZER</t>
        </is>
      </c>
    </row>
    <row r="155">
      <c r="A155" s="52" t="n">
        <v>46319</v>
      </c>
      <c r="B155" s="4" t="inlineStr">
        <is>
          <t>Sábado</t>
        </is>
      </c>
      <c r="C155" s="4" t="n">
        <v>153</v>
      </c>
      <c r="D155" s="12" t="inlineStr">
        <is>
          <t>ARQUITETURA DE SOFTWARE</t>
        </is>
      </c>
      <c r="E155" s="13" t="inlineStr">
        <is>
          <t>REVISÃO 7 DIAS</t>
        </is>
      </c>
      <c r="F155" s="12" t="inlineStr">
        <is>
          <t>Frameworks de persistência (ORM); serviços de mensageria</t>
        </is>
      </c>
      <c r="G155" s="13" t="inlineStr"/>
      <c r="H155" s="13" t="n"/>
      <c r="I155" s="13" t="n"/>
      <c r="J155" s="35" t="inlineStr">
        <is>
          <t>A FAZER</t>
        </is>
      </c>
    </row>
    <row r="156">
      <c r="A156" s="52" t="n">
        <v>46319</v>
      </c>
      <c r="B156" s="4" t="inlineStr">
        <is>
          <t>Sábado</t>
        </is>
      </c>
      <c r="C156" s="4" t="n">
        <v>154</v>
      </c>
      <c r="D156" s="8" t="inlineStr">
        <is>
          <t>ARQUITETURA DE SOFTWARE</t>
        </is>
      </c>
      <c r="E156" s="9" t="inlineStr">
        <is>
          <t>REVISÃO 24H</t>
        </is>
      </c>
      <c r="F156" s="8" t="inlineStr">
        <is>
          <t>Padrões SOAP, REST, XML, XSLT, WSDL, JSON, RMI</t>
        </is>
      </c>
      <c r="G156" s="9" t="inlineStr"/>
      <c r="H156" s="9" t="n"/>
      <c r="I156" s="9" t="n"/>
      <c r="J156" s="35" t="inlineStr">
        <is>
          <t>A FAZER</t>
        </is>
      </c>
    </row>
    <row r="157">
      <c r="A157" s="53" t="n">
        <v>46320</v>
      </c>
      <c r="B157" s="6" t="inlineStr">
        <is>
          <t>Domingo</t>
        </is>
      </c>
      <c r="C157" s="6" t="n">
        <v>155</v>
      </c>
      <c r="D157" s="5" t="inlineStr">
        <is>
          <t>ARQUITETURA / BANCO DE DADOS</t>
        </is>
      </c>
      <c r="E157" s="6" t="inlineStr">
        <is>
          <t>ESTUDO</t>
        </is>
      </c>
      <c r="F157" s="5" t="inlineStr">
        <is>
          <t>ACID, transações e performance de banco de dados</t>
        </is>
      </c>
      <c r="G157" s="6" t="n">
        <v>120</v>
      </c>
      <c r="H157" s="6" t="n"/>
      <c r="I157" s="6" t="n"/>
      <c r="J157" s="35" t="inlineStr">
        <is>
          <t>A FAZER</t>
        </is>
      </c>
    </row>
    <row r="158">
      <c r="A158" s="53" t="n">
        <v>46320</v>
      </c>
      <c r="B158" s="6" t="inlineStr">
        <is>
          <t>Domingo</t>
        </is>
      </c>
      <c r="C158" s="6" t="n">
        <v>156</v>
      </c>
      <c r="D158" s="10" t="inlineStr">
        <is>
          <t>LÍNGUA PORTUGUESA</t>
        </is>
      </c>
      <c r="E158" s="11" t="inlineStr">
        <is>
          <t>SIMULADO</t>
        </is>
      </c>
      <c r="F158" s="10" t="inlineStr">
        <is>
          <t>Simulado misto (questões de todas as matérias da semana)</t>
        </is>
      </c>
      <c r="G158" s="11" t="n">
        <v>120</v>
      </c>
      <c r="H158" s="11" t="n"/>
      <c r="I158" s="11" t="n"/>
      <c r="J158" s="35" t="inlineStr">
        <is>
          <t>A FAZER</t>
        </is>
      </c>
    </row>
    <row r="159">
      <c r="A159" s="53" t="n">
        <v>46320</v>
      </c>
      <c r="B159" s="6" t="inlineStr">
        <is>
          <t>Domingo</t>
        </is>
      </c>
      <c r="C159" s="6" t="n">
        <v>157</v>
      </c>
      <c r="D159" s="16" t="inlineStr">
        <is>
          <t>ARQUITETURA / BANCO DE DADOS</t>
        </is>
      </c>
      <c r="E159" s="17" t="inlineStr">
        <is>
          <t>REVISÃO 30 DIAS</t>
        </is>
      </c>
      <c r="F159" s="16" t="inlineStr">
        <is>
          <t>Modelagem de dados: conceitual, lógica e física</t>
        </is>
      </c>
      <c r="G159" s="17" t="inlineStr"/>
      <c r="H159" s="17" t="n"/>
      <c r="I159" s="17" t="n"/>
      <c r="J159" s="35" t="inlineStr">
        <is>
          <t>A FAZER</t>
        </is>
      </c>
    </row>
    <row r="160">
      <c r="A160" s="53" t="n">
        <v>46320</v>
      </c>
      <c r="B160" s="6" t="inlineStr">
        <is>
          <t>Domingo</t>
        </is>
      </c>
      <c r="C160" s="6" t="n">
        <v>158</v>
      </c>
      <c r="D160" s="14" t="inlineStr">
        <is>
          <t>ARQUITETURA DE SOFTWARE</t>
        </is>
      </c>
      <c r="E160" s="15" t="inlineStr">
        <is>
          <t>REVISÃO 15 DIAS</t>
        </is>
      </c>
      <c r="F160" s="14" t="inlineStr">
        <is>
          <t>Conteinerização; servidores de aplicação</t>
        </is>
      </c>
      <c r="G160" s="15" t="inlineStr"/>
      <c r="H160" s="15" t="n"/>
      <c r="I160" s="15" t="n"/>
      <c r="J160" s="35" t="inlineStr">
        <is>
          <t>A FAZER</t>
        </is>
      </c>
    </row>
    <row r="161">
      <c r="A161" s="53" t="n">
        <v>46320</v>
      </c>
      <c r="B161" s="6" t="inlineStr">
        <is>
          <t>Domingo</t>
        </is>
      </c>
      <c r="C161" s="6" t="n">
        <v>159</v>
      </c>
      <c r="D161" s="14" t="inlineStr">
        <is>
          <t>LINGUAGENS DE PROGRAMAÇÃO</t>
        </is>
      </c>
      <c r="E161" s="15" t="inlineStr">
        <is>
          <t>REVISÃO 15 DIAS</t>
        </is>
      </c>
      <c r="F161" s="14" t="inlineStr">
        <is>
          <t>Coleções, tipos genéricos, threads e escalonamento</t>
        </is>
      </c>
      <c r="G161" s="15" t="inlineStr"/>
      <c r="H161" s="15" t="n"/>
      <c r="I161" s="15" t="n"/>
      <c r="J161" s="35" t="inlineStr">
        <is>
          <t>A FAZER</t>
        </is>
      </c>
    </row>
    <row r="162">
      <c r="A162" s="53" t="n">
        <v>46320</v>
      </c>
      <c r="B162" s="6" t="inlineStr">
        <is>
          <t>Domingo</t>
        </is>
      </c>
      <c r="C162" s="6" t="n">
        <v>160</v>
      </c>
      <c r="D162" s="12" t="inlineStr">
        <is>
          <t>LINGUAGENS DE PROGRAMAÇÃO</t>
        </is>
      </c>
      <c r="E162" s="13" t="inlineStr">
        <is>
          <t>REVISÃO 7 DIAS</t>
        </is>
      </c>
      <c r="F162" s="12" t="inlineStr">
        <is>
          <t>Tratamento de exceções e anotações</t>
        </is>
      </c>
      <c r="G162" s="13" t="inlineStr"/>
      <c r="H162" s="13" t="n"/>
      <c r="I162" s="13" t="n"/>
      <c r="J162" s="35" t="inlineStr">
        <is>
          <t>A FAZER</t>
        </is>
      </c>
    </row>
    <row r="163">
      <c r="A163" s="53" t="n">
        <v>46320</v>
      </c>
      <c r="B163" s="6" t="inlineStr">
        <is>
          <t>Domingo</t>
        </is>
      </c>
      <c r="C163" s="6" t="n">
        <v>161</v>
      </c>
      <c r="D163" s="8" t="inlineStr">
        <is>
          <t>LINGUAGENS DE PROGRAMAÇÃO</t>
        </is>
      </c>
      <c r="E163" s="9" t="inlineStr">
        <is>
          <t>REVISÃO 24H</t>
        </is>
      </c>
      <c r="F163" s="8" t="inlineStr">
        <is>
          <t>HTML5, CSS3 e JavaScript</t>
        </is>
      </c>
      <c r="G163" s="9" t="inlineStr"/>
      <c r="H163" s="9" t="n"/>
      <c r="I163" s="9" t="n"/>
      <c r="J163" s="35" t="inlineStr">
        <is>
          <t>A FAZER</t>
        </is>
      </c>
    </row>
    <row r="164">
      <c r="A164" s="53" t="n">
        <v>46320</v>
      </c>
      <c r="B164" s="6" t="inlineStr">
        <is>
          <t>Domingo</t>
        </is>
      </c>
      <c r="C164" s="6" t="n">
        <v>162</v>
      </c>
      <c r="D164" s="8" t="inlineStr">
        <is>
          <t>ESTRUTURA DE DADOS E ALGORITMOS</t>
        </is>
      </c>
      <c r="E164" s="9" t="inlineStr">
        <is>
          <t>REVISÃO 24H</t>
        </is>
      </c>
      <c r="F164" s="8" t="inlineStr">
        <is>
          <t>Tipos básicos e abstratos de dados (lista, fila, pilha, árvore)</t>
        </is>
      </c>
      <c r="G164" s="9" t="inlineStr"/>
      <c r="H164" s="9" t="n"/>
      <c r="I164" s="9" t="n"/>
      <c r="J164" s="35" t="inlineStr">
        <is>
          <t>A FAZER</t>
        </is>
      </c>
    </row>
    <row r="165">
      <c r="A165" s="52" t="n">
        <v>46321</v>
      </c>
      <c r="B165" s="4" t="inlineStr">
        <is>
          <t>Segunda</t>
        </is>
      </c>
      <c r="C165" s="4" t="n">
        <v>163</v>
      </c>
      <c r="D165" s="5" t="inlineStr">
        <is>
          <t>DIREITO CONSTITUCIONAL</t>
        </is>
      </c>
      <c r="E165" s="6" t="inlineStr">
        <is>
          <t>ESTUDO</t>
        </is>
      </c>
      <c r="F165" s="5" t="inlineStr">
        <is>
          <t>Direitos e Garantias Fundamentais</t>
        </is>
      </c>
      <c r="G165" s="6" t="n">
        <v>120</v>
      </c>
      <c r="H165" s="6" t="n"/>
      <c r="I165" s="6" t="n"/>
      <c r="J165" s="35" t="inlineStr">
        <is>
          <t>A FAZER</t>
        </is>
      </c>
    </row>
    <row r="166">
      <c r="A166" s="52" t="n">
        <v>46321</v>
      </c>
      <c r="B166" s="4" t="inlineStr">
        <is>
          <t>Segunda</t>
        </is>
      </c>
      <c r="C166" s="4" t="n">
        <v>164</v>
      </c>
      <c r="D166" s="16" t="inlineStr">
        <is>
          <t>SEGURANÇA DA INFORMAÇÃO</t>
        </is>
      </c>
      <c r="E166" s="17" t="inlineStr">
        <is>
          <t>REVISÃO 30 DIAS</t>
        </is>
      </c>
      <c r="F166" s="16" t="inlineStr">
        <is>
          <t>Desenvolvimento seguro: SAST / DAST / IAST</t>
        </is>
      </c>
      <c r="G166" s="17" t="inlineStr"/>
      <c r="H166" s="17" t="n"/>
      <c r="I166" s="17" t="n"/>
      <c r="J166" s="35" t="inlineStr">
        <is>
          <t>A FAZER</t>
        </is>
      </c>
    </row>
    <row r="167">
      <c r="A167" s="52" t="n">
        <v>46321</v>
      </c>
      <c r="B167" s="4" t="inlineStr">
        <is>
          <t>Segunda</t>
        </is>
      </c>
      <c r="C167" s="4" t="n">
        <v>165</v>
      </c>
      <c r="D167" s="16" t="inlineStr">
        <is>
          <t>ENGENHARIA DE SOFTWARE</t>
        </is>
      </c>
      <c r="E167" s="17" t="inlineStr">
        <is>
          <t>REVISÃO 30 DIAS</t>
        </is>
      </c>
      <c r="F167" s="16" t="inlineStr">
        <is>
          <t>Ciclo de vida e metodologias de desenvolvimento (cascata, ágil)</t>
        </is>
      </c>
      <c r="G167" s="17" t="inlineStr"/>
      <c r="H167" s="17" t="n"/>
      <c r="I167" s="17" t="n"/>
      <c r="J167" s="35" t="inlineStr">
        <is>
          <t>A FAZER</t>
        </is>
      </c>
    </row>
    <row r="168">
      <c r="A168" s="52" t="n">
        <v>46321</v>
      </c>
      <c r="B168" s="4" t="inlineStr">
        <is>
          <t>Segunda</t>
        </is>
      </c>
      <c r="C168" s="4" t="n">
        <v>166</v>
      </c>
      <c r="D168" s="14" t="inlineStr">
        <is>
          <t>ESTRUTURA DE DADOS E ALGORITMOS</t>
        </is>
      </c>
      <c r="E168" s="15" t="inlineStr">
        <is>
          <t>REVISÃO 15 DIAS</t>
        </is>
      </c>
      <c r="F168" s="14" t="inlineStr">
        <is>
          <t>Listas lineares, encadeadas, vetores e matrizes</t>
        </is>
      </c>
      <c r="G168" s="15" t="inlineStr"/>
      <c r="H168" s="15" t="n"/>
      <c r="I168" s="15" t="n"/>
      <c r="J168" s="35" t="inlineStr">
        <is>
          <t>A FAZER</t>
        </is>
      </c>
    </row>
    <row r="169">
      <c r="A169" s="52" t="n">
        <v>46321</v>
      </c>
      <c r="B169" s="4" t="inlineStr">
        <is>
          <t>Segunda</t>
        </is>
      </c>
      <c r="C169" s="4" t="n">
        <v>167</v>
      </c>
      <c r="D169" s="12" t="inlineStr">
        <is>
          <t>ESTRUTURA DE DADOS E ALGORITMOS</t>
        </is>
      </c>
      <c r="E169" s="13" t="inlineStr">
        <is>
          <t>REVISÃO 7 DIAS</t>
        </is>
      </c>
      <c r="F169" s="12" t="inlineStr">
        <is>
          <t>Programação recursiva</t>
        </is>
      </c>
      <c r="G169" s="13" t="inlineStr"/>
      <c r="H169" s="13" t="n"/>
      <c r="I169" s="13" t="n"/>
      <c r="J169" s="35" t="inlineStr">
        <is>
          <t>A FAZER</t>
        </is>
      </c>
    </row>
    <row r="170">
      <c r="A170" s="52" t="n">
        <v>46321</v>
      </c>
      <c r="B170" s="4" t="inlineStr">
        <is>
          <t>Segunda</t>
        </is>
      </c>
      <c r="C170" s="4" t="n">
        <v>168</v>
      </c>
      <c r="D170" s="8" t="inlineStr">
        <is>
          <t>ARQUITETURA / BANCO DE DADOS</t>
        </is>
      </c>
      <c r="E170" s="9" t="inlineStr">
        <is>
          <t>REVISÃO 24H</t>
        </is>
      </c>
      <c r="F170" s="8" t="inlineStr">
        <is>
          <t>ACID, transações e performance de banco de dados</t>
        </is>
      </c>
      <c r="G170" s="9" t="inlineStr"/>
      <c r="H170" s="9" t="n"/>
      <c r="I170" s="9" t="n"/>
      <c r="J170" s="35" t="inlineStr">
        <is>
          <t>A FAZER</t>
        </is>
      </c>
    </row>
    <row r="171">
      <c r="A171" s="53" t="n">
        <v>46322</v>
      </c>
      <c r="B171" s="6" t="inlineStr">
        <is>
          <t>Terça</t>
        </is>
      </c>
      <c r="C171" s="6" t="n">
        <v>169</v>
      </c>
      <c r="D171" s="5" t="inlineStr">
        <is>
          <t>DIREITO ADMINISTRATIVO</t>
        </is>
      </c>
      <c r="E171" s="6" t="inlineStr">
        <is>
          <t>ESTUDO</t>
        </is>
      </c>
      <c r="F171" s="5" t="inlineStr">
        <is>
          <t>Lei 8.666/93, Lei 14.133/2021 e Pregão (Lei 10.520/2002)</t>
        </is>
      </c>
      <c r="G171" s="6" t="n">
        <v>120</v>
      </c>
      <c r="H171" s="6" t="n"/>
      <c r="I171" s="6" t="n"/>
      <c r="J171" s="35" t="inlineStr">
        <is>
          <t>A FAZER</t>
        </is>
      </c>
    </row>
    <row r="172">
      <c r="A172" s="53" t="n">
        <v>46322</v>
      </c>
      <c r="B172" s="6" t="inlineStr">
        <is>
          <t>Terça</t>
        </is>
      </c>
      <c r="C172" s="6" t="n">
        <v>170</v>
      </c>
      <c r="D172" s="16" t="inlineStr">
        <is>
          <t>ARQUITETURA DE SOFTWARE</t>
        </is>
      </c>
      <c r="E172" s="17" t="inlineStr">
        <is>
          <t>REVISÃO 30 DIAS</t>
        </is>
      </c>
      <c r="F172" s="16" t="inlineStr">
        <is>
          <t>Arquitetura Orientada a Serviços (SOA) e interoperabilidade</t>
        </is>
      </c>
      <c r="G172" s="17" t="inlineStr"/>
      <c r="H172" s="17" t="n"/>
      <c r="I172" s="17" t="n"/>
      <c r="J172" s="35" t="inlineStr">
        <is>
          <t>A FAZER</t>
        </is>
      </c>
    </row>
    <row r="173">
      <c r="A173" s="53" t="n">
        <v>46322</v>
      </c>
      <c r="B173" s="6" t="inlineStr">
        <is>
          <t>Terça</t>
        </is>
      </c>
      <c r="C173" s="6" t="n">
        <v>171</v>
      </c>
      <c r="D173" s="12" t="inlineStr">
        <is>
          <t>ARQUITETURA / BANCO DE DADOS</t>
        </is>
      </c>
      <c r="E173" s="13" t="inlineStr">
        <is>
          <t>REVISÃO 7 DIAS</t>
        </is>
      </c>
      <c r="F173" s="12" t="inlineStr">
        <is>
          <t>SQL: DDL, DML, DCL, DTL</t>
        </is>
      </c>
      <c r="G173" s="13" t="inlineStr"/>
      <c r="H173" s="13" t="n"/>
      <c r="I173" s="13" t="n"/>
      <c r="J173" s="35" t="inlineStr">
        <is>
          <t>A FAZER</t>
        </is>
      </c>
    </row>
    <row r="174">
      <c r="A174" s="53" t="n">
        <v>46322</v>
      </c>
      <c r="B174" s="6" t="inlineStr">
        <is>
          <t>Terça</t>
        </is>
      </c>
      <c r="C174" s="6" t="n">
        <v>172</v>
      </c>
      <c r="D174" s="8" t="inlineStr">
        <is>
          <t>DIREITO CONSTITUCIONAL</t>
        </is>
      </c>
      <c r="E174" s="9" t="inlineStr">
        <is>
          <t>REVISÃO 24H</t>
        </is>
      </c>
      <c r="F174" s="8" t="inlineStr">
        <is>
          <t>Direitos e Garantias Fundamentais</t>
        </is>
      </c>
      <c r="G174" s="9" t="inlineStr"/>
      <c r="H174" s="9" t="n"/>
      <c r="I174" s="9" t="n"/>
      <c r="J174" s="35" t="inlineStr">
        <is>
          <t>A FAZER</t>
        </is>
      </c>
    </row>
    <row r="175">
      <c r="A175" s="52" t="n">
        <v>46323</v>
      </c>
      <c r="B175" s="4" t="inlineStr">
        <is>
          <t>Quarta</t>
        </is>
      </c>
      <c r="C175" s="4" t="n">
        <v>173</v>
      </c>
      <c r="D175" s="5" t="inlineStr">
        <is>
          <t>LEGISLAÇÃO INSTITUCIONAL MP</t>
        </is>
      </c>
      <c r="E175" s="6" t="inlineStr">
        <is>
          <t>ESTUDO</t>
        </is>
      </c>
      <c r="F175" s="5" t="inlineStr">
        <is>
          <t>Plano de Cargos/Carreiras MPMS (Lei 4.134/2011) + LGPD (Lei 13.709/2018)</t>
        </is>
      </c>
      <c r="G175" s="6" t="n">
        <v>120</v>
      </c>
      <c r="H175" s="6" t="n"/>
      <c r="I175" s="6" t="n"/>
      <c r="J175" s="35" t="inlineStr">
        <is>
          <t>A FAZER</t>
        </is>
      </c>
    </row>
    <row r="176">
      <c r="A176" s="52" t="n">
        <v>46323</v>
      </c>
      <c r="B176" s="4" t="inlineStr">
        <is>
          <t>Quarta</t>
        </is>
      </c>
      <c r="C176" s="4" t="n">
        <v>174</v>
      </c>
      <c r="D176" s="16" t="inlineStr">
        <is>
          <t>ESTRUTURA DE DADOS E ALGORITMOS</t>
        </is>
      </c>
      <c r="E176" s="17" t="inlineStr">
        <is>
          <t>REVISÃO 30 DIAS</t>
        </is>
      </c>
      <c r="F176" s="16" t="inlineStr">
        <is>
          <t>Sub-rotinas: chamada por endereço, referência e valor</t>
        </is>
      </c>
      <c r="G176" s="17" t="inlineStr"/>
      <c r="H176" s="17" t="n"/>
      <c r="I176" s="17" t="n"/>
      <c r="J176" s="35" t="inlineStr">
        <is>
          <t>A FAZER</t>
        </is>
      </c>
    </row>
    <row r="177">
      <c r="A177" s="52" t="n">
        <v>46323</v>
      </c>
      <c r="B177" s="4" t="inlineStr">
        <is>
          <t>Quarta</t>
        </is>
      </c>
      <c r="C177" s="4" t="n">
        <v>175</v>
      </c>
      <c r="D177" s="14" t="inlineStr">
        <is>
          <t>LÍNGUA PORTUGUESA</t>
        </is>
      </c>
      <c r="E177" s="15" t="inlineStr">
        <is>
          <t>REVISÃO 15 DIAS</t>
        </is>
      </c>
      <c r="F177" s="14" t="inlineStr">
        <is>
          <t>Morfologia (classes de palavras) e funções do 'que'/'se'</t>
        </is>
      </c>
      <c r="G177" s="15" t="inlineStr"/>
      <c r="H177" s="15" t="n"/>
      <c r="I177" s="15" t="n"/>
      <c r="J177" s="35" t="inlineStr">
        <is>
          <t>A FAZER</t>
        </is>
      </c>
    </row>
    <row r="178">
      <c r="A178" s="52" t="n">
        <v>46323</v>
      </c>
      <c r="B178" s="4" t="inlineStr">
        <is>
          <t>Quarta</t>
        </is>
      </c>
      <c r="C178" s="4" t="n">
        <v>176</v>
      </c>
      <c r="D178" s="12" t="inlineStr">
        <is>
          <t>SEGURANÇA DA INFORMAÇÃO</t>
        </is>
      </c>
      <c r="E178" s="13" t="inlineStr">
        <is>
          <t>REVISÃO 7 DIAS</t>
        </is>
      </c>
      <c r="F178" s="12" t="inlineStr">
        <is>
          <t>Gestão de identidade e acesso (autenticação, autorização, auditoria)</t>
        </is>
      </c>
      <c r="G178" s="13" t="inlineStr"/>
      <c r="H178" s="13" t="n"/>
      <c r="I178" s="13" t="n"/>
      <c r="J178" s="35" t="inlineStr">
        <is>
          <t>A FAZER</t>
        </is>
      </c>
    </row>
    <row r="179">
      <c r="A179" s="52" t="n">
        <v>46323</v>
      </c>
      <c r="B179" s="4" t="inlineStr">
        <is>
          <t>Quarta</t>
        </is>
      </c>
      <c r="C179" s="4" t="n">
        <v>177</v>
      </c>
      <c r="D179" s="8" t="inlineStr">
        <is>
          <t>DIREITO ADMINISTRATIVO</t>
        </is>
      </c>
      <c r="E179" s="9" t="inlineStr">
        <is>
          <t>REVISÃO 24H</t>
        </is>
      </c>
      <c r="F179" s="8" t="inlineStr">
        <is>
          <t>Lei 8.666/93, Lei 14.133/2021 e Pregão (Lei 10.520/2002)</t>
        </is>
      </c>
      <c r="G179" s="9" t="inlineStr"/>
      <c r="H179" s="9" t="n"/>
      <c r="I179" s="9" t="n"/>
      <c r="J179" s="35" t="inlineStr">
        <is>
          <t>A FAZER</t>
        </is>
      </c>
    </row>
    <row r="180">
      <c r="A180" s="53" t="n">
        <v>46324</v>
      </c>
      <c r="B180" s="6" t="inlineStr">
        <is>
          <t>Quinta</t>
        </is>
      </c>
      <c r="C180" s="6" t="n">
        <v>178</v>
      </c>
      <c r="D180" s="5" t="inlineStr">
        <is>
          <t>ENGENHARIA DE SOFTWARE</t>
        </is>
      </c>
      <c r="E180" s="6" t="inlineStr">
        <is>
          <t>ESTUDO</t>
        </is>
      </c>
      <c r="F180" s="5" t="inlineStr">
        <is>
          <t>DevOps e CI/CD (conceitos e ferramentas)</t>
        </is>
      </c>
      <c r="G180" s="6" t="n">
        <v>120</v>
      </c>
      <c r="H180" s="6" t="n"/>
      <c r="I180" s="6" t="n"/>
      <c r="J180" s="35" t="inlineStr">
        <is>
          <t>A FAZER</t>
        </is>
      </c>
    </row>
    <row r="181">
      <c r="A181" s="53" t="n">
        <v>46324</v>
      </c>
      <c r="B181" s="6" t="inlineStr">
        <is>
          <t>Quinta</t>
        </is>
      </c>
      <c r="C181" s="6" t="n">
        <v>179</v>
      </c>
      <c r="D181" s="16" t="inlineStr">
        <is>
          <t>ARQUITETURA / BANCO DE DADOS</t>
        </is>
      </c>
      <c r="E181" s="17" t="inlineStr">
        <is>
          <t>REVISÃO 30 DIAS</t>
        </is>
      </c>
      <c r="F181" s="16" t="inlineStr">
        <is>
          <t>Normalização, integridade referencial e metadados</t>
        </is>
      </c>
      <c r="G181" s="17" t="inlineStr"/>
      <c r="H181" s="17" t="n"/>
      <c r="I181" s="17" t="n"/>
      <c r="J181" s="35" t="inlineStr">
        <is>
          <t>A FAZER</t>
        </is>
      </c>
    </row>
    <row r="182">
      <c r="A182" s="53" t="n">
        <v>46324</v>
      </c>
      <c r="B182" s="6" t="inlineStr">
        <is>
          <t>Quinta</t>
        </is>
      </c>
      <c r="C182" s="6" t="n">
        <v>180</v>
      </c>
      <c r="D182" s="14" t="inlineStr">
        <is>
          <t>DIREITO CONSTITUCIONAL</t>
        </is>
      </c>
      <c r="E182" s="15" t="inlineStr">
        <is>
          <t>REVISÃO 15 DIAS</t>
        </is>
      </c>
      <c r="F182" s="14" t="inlineStr">
        <is>
          <t>Poder Constituinte e Princípios Fundamentais</t>
        </is>
      </c>
      <c r="G182" s="15" t="inlineStr"/>
      <c r="H182" s="15" t="n"/>
      <c r="I182" s="15" t="n"/>
      <c r="J182" s="35" t="inlineStr">
        <is>
          <t>A FAZER</t>
        </is>
      </c>
    </row>
    <row r="183">
      <c r="A183" s="53" t="n">
        <v>46324</v>
      </c>
      <c r="B183" s="6" t="inlineStr">
        <is>
          <t>Quinta</t>
        </is>
      </c>
      <c r="C183" s="6" t="n">
        <v>181</v>
      </c>
      <c r="D183" s="12" t="inlineStr">
        <is>
          <t>ENGENHARIA DE SOFTWARE</t>
        </is>
      </c>
      <c r="E183" s="13" t="inlineStr">
        <is>
          <t>REVISÃO 7 DIAS</t>
        </is>
      </c>
      <c r="F183" s="12" t="inlineStr">
        <is>
          <t>Diagrama Entidade-Relacionamento (ER) e modelagem</t>
        </is>
      </c>
      <c r="G183" s="13" t="inlineStr"/>
      <c r="H183" s="13" t="n"/>
      <c r="I183" s="13" t="n"/>
      <c r="J183" s="35" t="inlineStr">
        <is>
          <t>A FAZER</t>
        </is>
      </c>
    </row>
    <row r="184">
      <c r="A184" s="53" t="n">
        <v>46324</v>
      </c>
      <c r="B184" s="6" t="inlineStr">
        <is>
          <t>Quinta</t>
        </is>
      </c>
      <c r="C184" s="6" t="n">
        <v>182</v>
      </c>
      <c r="D184" s="8" t="inlineStr">
        <is>
          <t>LEGISLAÇÃO INSTITUCIONAL MP</t>
        </is>
      </c>
      <c r="E184" s="9" t="inlineStr">
        <is>
          <t>REVISÃO 24H</t>
        </is>
      </c>
      <c r="F184" s="8" t="inlineStr">
        <is>
          <t>Plano de Cargos/Carreiras MPMS (Lei 4.134/2011) + LGPD (Lei 13.709/2018)</t>
        </is>
      </c>
      <c r="G184" s="9" t="inlineStr"/>
      <c r="H184" s="9" t="n"/>
      <c r="I184" s="9" t="n"/>
      <c r="J184" s="35" t="inlineStr">
        <is>
          <t>A FAZER</t>
        </is>
      </c>
    </row>
    <row r="185">
      <c r="A185" s="52" t="n">
        <v>46325</v>
      </c>
      <c r="B185" s="4" t="inlineStr">
        <is>
          <t>Sexta</t>
        </is>
      </c>
      <c r="C185" s="4" t="n">
        <v>183</v>
      </c>
      <c r="D185" s="5" t="inlineStr">
        <is>
          <t>ARQUITETURA DE SOFTWARE</t>
        </is>
      </c>
      <c r="E185" s="6" t="inlineStr">
        <is>
          <t>ESTUDO</t>
        </is>
      </c>
      <c r="F185" s="5" t="inlineStr">
        <is>
          <t>Refatoração, modernização e componentização de software</t>
        </is>
      </c>
      <c r="G185" s="6" t="n">
        <v>120</v>
      </c>
      <c r="H185" s="6" t="n"/>
      <c r="I185" s="6" t="n"/>
      <c r="J185" s="35" t="inlineStr">
        <is>
          <t>A FAZER</t>
        </is>
      </c>
    </row>
    <row r="186">
      <c r="A186" s="52" t="n">
        <v>46325</v>
      </c>
      <c r="B186" s="4" t="inlineStr">
        <is>
          <t>Sexta</t>
        </is>
      </c>
      <c r="C186" s="4" t="n">
        <v>184</v>
      </c>
      <c r="D186" s="16" t="inlineStr">
        <is>
          <t>LÍNGUA PORTUGUESA</t>
        </is>
      </c>
      <c r="E186" s="17" t="inlineStr">
        <is>
          <t>REVISÃO 30 DIAS</t>
        </is>
      </c>
      <c r="F186" s="16" t="inlineStr">
        <is>
          <t>Ortografia, acentuação e uso da crase</t>
        </is>
      </c>
      <c r="G186" s="17" t="inlineStr"/>
      <c r="H186" s="17" t="n"/>
      <c r="I186" s="17" t="n"/>
      <c r="J186" s="35" t="inlineStr">
        <is>
          <t>A FAZER</t>
        </is>
      </c>
    </row>
    <row r="187">
      <c r="A187" s="52" t="n">
        <v>46325</v>
      </c>
      <c r="B187" s="4" t="inlineStr">
        <is>
          <t>Sexta</t>
        </is>
      </c>
      <c r="C187" s="4" t="n">
        <v>185</v>
      </c>
      <c r="D187" s="14" t="inlineStr">
        <is>
          <t>DIREITO ADMINISTRATIVO</t>
        </is>
      </c>
      <c r="E187" s="15" t="inlineStr">
        <is>
          <t>REVISÃO 15 DIAS</t>
        </is>
      </c>
      <c r="F187" s="14" t="inlineStr">
        <is>
          <t>Responsabilidade Civil do Estado; Controle da Administração</t>
        </is>
      </c>
      <c r="G187" s="15" t="inlineStr"/>
      <c r="H187" s="15" t="n"/>
      <c r="I187" s="15" t="n"/>
      <c r="J187" s="35" t="inlineStr">
        <is>
          <t>A FAZER</t>
        </is>
      </c>
    </row>
    <row r="188">
      <c r="A188" s="52" t="n">
        <v>46325</v>
      </c>
      <c r="B188" s="4" t="inlineStr">
        <is>
          <t>Sexta</t>
        </is>
      </c>
      <c r="C188" s="4" t="n">
        <v>186</v>
      </c>
      <c r="D188" s="12" t="inlineStr">
        <is>
          <t>ARQUITETURA DE SOFTWARE</t>
        </is>
      </c>
      <c r="E188" s="13" t="inlineStr">
        <is>
          <t>REVISÃO 7 DIAS</t>
        </is>
      </c>
      <c r="F188" s="12" t="inlineStr">
        <is>
          <t>Padrões SOAP, REST, XML, XSLT, WSDL, JSON, RMI</t>
        </is>
      </c>
      <c r="G188" s="13" t="inlineStr"/>
      <c r="H188" s="13" t="n"/>
      <c r="I188" s="13" t="n"/>
      <c r="J188" s="35" t="inlineStr">
        <is>
          <t>A FAZER</t>
        </is>
      </c>
    </row>
    <row r="189">
      <c r="A189" s="52" t="n">
        <v>46325</v>
      </c>
      <c r="B189" s="4" t="inlineStr">
        <is>
          <t>Sexta</t>
        </is>
      </c>
      <c r="C189" s="4" t="n">
        <v>187</v>
      </c>
      <c r="D189" s="8" t="inlineStr">
        <is>
          <t>ENGENHARIA DE SOFTWARE</t>
        </is>
      </c>
      <c r="E189" s="9" t="inlineStr">
        <is>
          <t>REVISÃO 24H</t>
        </is>
      </c>
      <c r="F189" s="8" t="inlineStr">
        <is>
          <t>DevOps e CI/CD (conceitos e ferramentas)</t>
        </is>
      </c>
      <c r="G189" s="9" t="inlineStr"/>
      <c r="H189" s="9" t="n"/>
      <c r="I189" s="9" t="n"/>
      <c r="J189" s="35" t="inlineStr">
        <is>
          <t>A FAZER</t>
        </is>
      </c>
    </row>
    <row r="190">
      <c r="A190" s="53" t="n">
        <v>46326</v>
      </c>
      <c r="B190" s="6" t="inlineStr">
        <is>
          <t>Sábado</t>
        </is>
      </c>
      <c r="C190" s="6" t="n">
        <v>188</v>
      </c>
      <c r="D190" s="5" t="inlineStr">
        <is>
          <t>LINGUAGENS DE PROGRAMAÇÃO</t>
        </is>
      </c>
      <c r="E190" s="6" t="inlineStr">
        <is>
          <t>ESTUDO</t>
        </is>
      </c>
      <c r="F190" s="5" t="inlineStr">
        <is>
          <t>Python 3.7+ (sintaxe, estruturas, boas práticas)</t>
        </is>
      </c>
      <c r="G190" s="6" t="n">
        <v>120</v>
      </c>
      <c r="H190" s="6" t="n"/>
      <c r="I190" s="6" t="n"/>
      <c r="J190" s="35" t="inlineStr">
        <is>
          <t>A FAZER</t>
        </is>
      </c>
    </row>
    <row r="191">
      <c r="A191" s="53" t="n">
        <v>46326</v>
      </c>
      <c r="B191" s="6" t="inlineStr">
        <is>
          <t>Sábado</t>
        </is>
      </c>
      <c r="C191" s="6" t="n">
        <v>189</v>
      </c>
      <c r="D191" s="5" t="inlineStr">
        <is>
          <t>QUALIDADE DE SOFTWARE</t>
        </is>
      </c>
      <c r="E191" s="6" t="inlineStr">
        <is>
          <t>ESTUDO</t>
        </is>
      </c>
      <c r="F191" s="5" t="inlineStr">
        <is>
          <t>Testes de desempenho, carga e vulnerabilidade</t>
        </is>
      </c>
      <c r="G191" s="6" t="n">
        <v>120</v>
      </c>
      <c r="H191" s="6" t="n"/>
      <c r="I191" s="6" t="n"/>
      <c r="J191" s="35" t="inlineStr">
        <is>
          <t>A FAZER</t>
        </is>
      </c>
    </row>
    <row r="192">
      <c r="A192" s="53" t="n">
        <v>46326</v>
      </c>
      <c r="B192" s="6" t="inlineStr">
        <is>
          <t>Sábado</t>
        </is>
      </c>
      <c r="C192" s="6" t="n">
        <v>190</v>
      </c>
      <c r="D192" s="16" t="inlineStr">
        <is>
          <t>DIREITO CONSTITUCIONAL</t>
        </is>
      </c>
      <c r="E192" s="17" t="inlineStr">
        <is>
          <t>REVISÃO 30 DIAS</t>
        </is>
      </c>
      <c r="F192" s="16" t="inlineStr">
        <is>
          <t>Eficácia, aplicabilidade e interpretação das normas constitucionais</t>
        </is>
      </c>
      <c r="G192" s="17" t="inlineStr"/>
      <c r="H192" s="17" t="n"/>
      <c r="I192" s="17" t="n"/>
      <c r="J192" s="35" t="inlineStr">
        <is>
          <t>A FAZER</t>
        </is>
      </c>
    </row>
    <row r="193">
      <c r="A193" s="53" t="n">
        <v>46326</v>
      </c>
      <c r="B193" s="6" t="inlineStr">
        <is>
          <t>Sábado</t>
        </is>
      </c>
      <c r="C193" s="6" t="n">
        <v>191</v>
      </c>
      <c r="D193" s="14" t="inlineStr">
        <is>
          <t>LEGISLAÇÃO INSTITUCIONAL MP</t>
        </is>
      </c>
      <c r="E193" s="15" t="inlineStr">
        <is>
          <t>REVISÃO 15 DIAS</t>
        </is>
      </c>
      <c r="F193" s="14" t="inlineStr">
        <is>
          <t>Estatuto dos Funcionários Públicos do MS (Lei 1.102/1990)</t>
        </is>
      </c>
      <c r="G193" s="15" t="inlineStr"/>
      <c r="H193" s="15" t="n"/>
      <c r="I193" s="15" t="n"/>
      <c r="J193" s="35" t="inlineStr">
        <is>
          <t>A FAZER</t>
        </is>
      </c>
    </row>
    <row r="194">
      <c r="A194" s="53" t="n">
        <v>46326</v>
      </c>
      <c r="B194" s="6" t="inlineStr">
        <is>
          <t>Sábado</t>
        </is>
      </c>
      <c r="C194" s="6" t="n">
        <v>192</v>
      </c>
      <c r="D194" s="12" t="inlineStr">
        <is>
          <t>LINGUAGENS DE PROGRAMAÇÃO</t>
        </is>
      </c>
      <c r="E194" s="13" t="inlineStr">
        <is>
          <t>REVISÃO 7 DIAS</t>
        </is>
      </c>
      <c r="F194" s="12" t="inlineStr">
        <is>
          <t>HTML5, CSS3 e JavaScript</t>
        </is>
      </c>
      <c r="G194" s="13" t="inlineStr"/>
      <c r="H194" s="13" t="n"/>
      <c r="I194" s="13" t="n"/>
      <c r="J194" s="35" t="inlineStr">
        <is>
          <t>A FAZER</t>
        </is>
      </c>
    </row>
    <row r="195">
      <c r="A195" s="53" t="n">
        <v>46326</v>
      </c>
      <c r="B195" s="6" t="inlineStr">
        <is>
          <t>Sábado</t>
        </is>
      </c>
      <c r="C195" s="6" t="n">
        <v>193</v>
      </c>
      <c r="D195" s="12" t="inlineStr">
        <is>
          <t>ESTRUTURA DE DADOS E ALGORITMOS</t>
        </is>
      </c>
      <c r="E195" s="13" t="inlineStr">
        <is>
          <t>REVISÃO 7 DIAS</t>
        </is>
      </c>
      <c r="F195" s="12" t="inlineStr">
        <is>
          <t>Tipos básicos e abstratos de dados (lista, fila, pilha, árvore)</t>
        </is>
      </c>
      <c r="G195" s="13" t="inlineStr"/>
      <c r="H195" s="13" t="n"/>
      <c r="I195" s="13" t="n"/>
      <c r="J195" s="35" t="inlineStr">
        <is>
          <t>A FAZER</t>
        </is>
      </c>
    </row>
    <row r="196">
      <c r="A196" s="53" t="n">
        <v>46326</v>
      </c>
      <c r="B196" s="6" t="inlineStr">
        <is>
          <t>Sábado</t>
        </is>
      </c>
      <c r="C196" s="6" t="n">
        <v>194</v>
      </c>
      <c r="D196" s="8" t="inlineStr">
        <is>
          <t>ARQUITETURA DE SOFTWARE</t>
        </is>
      </c>
      <c r="E196" s="9" t="inlineStr">
        <is>
          <t>REVISÃO 24H</t>
        </is>
      </c>
      <c r="F196" s="8" t="inlineStr">
        <is>
          <t>Refatoração, modernização e componentização de software</t>
        </is>
      </c>
      <c r="G196" s="9" t="inlineStr"/>
      <c r="H196" s="9" t="n"/>
      <c r="I196" s="9" t="n"/>
      <c r="J196" s="35" t="inlineStr">
        <is>
          <t>A FAZER</t>
        </is>
      </c>
    </row>
    <row r="197">
      <c r="A197" s="52" t="n">
        <v>46327</v>
      </c>
      <c r="B197" s="4" t="inlineStr">
        <is>
          <t>Domingo</t>
        </is>
      </c>
      <c r="C197" s="4" t="n">
        <v>195</v>
      </c>
      <c r="D197" s="5" t="inlineStr">
        <is>
          <t>ESTRUTURA DE DADOS E ALGORITMOS</t>
        </is>
      </c>
      <c r="E197" s="6" t="inlineStr">
        <is>
          <t>ESTUDO</t>
        </is>
      </c>
      <c r="F197" s="5" t="inlineStr">
        <is>
          <t>Sub-rotinas: chamada por endereço, referência e valor</t>
        </is>
      </c>
      <c r="G197" s="6" t="n">
        <v>120</v>
      </c>
      <c r="H197" s="6" t="n"/>
      <c r="I197" s="6" t="n"/>
      <c r="J197" s="35" t="inlineStr">
        <is>
          <t>A FAZER</t>
        </is>
      </c>
    </row>
    <row r="198">
      <c r="A198" s="52" t="n">
        <v>46327</v>
      </c>
      <c r="B198" s="4" t="inlineStr">
        <is>
          <t>Domingo</t>
        </is>
      </c>
      <c r="C198" s="4" t="n">
        <v>196</v>
      </c>
      <c r="D198" s="10" t="inlineStr">
        <is>
          <t>ARQUITETURA / BANCO DE DADOS</t>
        </is>
      </c>
      <c r="E198" s="11" t="inlineStr">
        <is>
          <t>SIMULADO</t>
        </is>
      </c>
      <c r="F198" s="10" t="inlineStr">
        <is>
          <t>Simulado misto (questões de todas as matérias da semana)</t>
        </is>
      </c>
      <c r="G198" s="11" t="n">
        <v>120</v>
      </c>
      <c r="H198" s="11" t="n"/>
      <c r="I198" s="11" t="n"/>
      <c r="J198" s="35" t="inlineStr">
        <is>
          <t>A FAZER</t>
        </is>
      </c>
    </row>
    <row r="199">
      <c r="A199" s="52" t="n">
        <v>46327</v>
      </c>
      <c r="B199" s="4" t="inlineStr">
        <is>
          <t>Domingo</t>
        </is>
      </c>
      <c r="C199" s="4" t="n">
        <v>197</v>
      </c>
      <c r="D199" s="16" t="inlineStr">
        <is>
          <t>DIREITO ADMINISTRATIVO</t>
        </is>
      </c>
      <c r="E199" s="17" t="inlineStr">
        <is>
          <t>REVISÃO 30 DIAS</t>
        </is>
      </c>
      <c r="F199" s="16" t="inlineStr">
        <is>
          <t>Organização Administrativa e Atos Administrativos</t>
        </is>
      </c>
      <c r="G199" s="17" t="inlineStr"/>
      <c r="H199" s="17" t="n"/>
      <c r="I199" s="17" t="n"/>
      <c r="J199" s="35" t="inlineStr">
        <is>
          <t>A FAZER</t>
        </is>
      </c>
    </row>
    <row r="200">
      <c r="A200" s="52" t="n">
        <v>46327</v>
      </c>
      <c r="B200" s="4" t="inlineStr">
        <is>
          <t>Domingo</t>
        </is>
      </c>
      <c r="C200" s="4" t="n">
        <v>198</v>
      </c>
      <c r="D200" s="14" t="inlineStr">
        <is>
          <t>ENGENHARIA DE SOFTWARE</t>
        </is>
      </c>
      <c r="E200" s="15" t="inlineStr">
        <is>
          <t>REVISÃO 15 DIAS</t>
        </is>
      </c>
      <c r="F200" s="14" t="inlineStr">
        <is>
          <t>Requisitos: elicitação, histórias de usuário, MVP, prototipação, personas</t>
        </is>
      </c>
      <c r="G200" s="15" t="inlineStr"/>
      <c r="H200" s="15" t="n"/>
      <c r="I200" s="15" t="n"/>
      <c r="J200" s="35" t="inlineStr">
        <is>
          <t>A FAZER</t>
        </is>
      </c>
    </row>
    <row r="201">
      <c r="A201" s="52" t="n">
        <v>46327</v>
      </c>
      <c r="B201" s="4" t="inlineStr">
        <is>
          <t>Domingo</t>
        </is>
      </c>
      <c r="C201" s="4" t="n">
        <v>199</v>
      </c>
      <c r="D201" s="14" t="inlineStr">
        <is>
          <t>ARQUITETURA DE SOFTWARE</t>
        </is>
      </c>
      <c r="E201" s="15" t="inlineStr">
        <is>
          <t>REVISÃO 15 DIAS</t>
        </is>
      </c>
      <c r="F201" s="14" t="inlineStr">
        <is>
          <t>Frameworks de persistência (ORM); serviços de mensageria</t>
        </is>
      </c>
      <c r="G201" s="15" t="inlineStr"/>
      <c r="H201" s="15" t="n"/>
      <c r="I201" s="15" t="n"/>
      <c r="J201" s="35" t="inlineStr">
        <is>
          <t>A FAZER</t>
        </is>
      </c>
    </row>
    <row r="202">
      <c r="A202" s="52" t="n">
        <v>46327</v>
      </c>
      <c r="B202" s="4" t="inlineStr">
        <is>
          <t>Domingo</t>
        </is>
      </c>
      <c r="C202" s="4" t="n">
        <v>200</v>
      </c>
      <c r="D202" s="12" t="inlineStr">
        <is>
          <t>ARQUITETURA / BANCO DE DADOS</t>
        </is>
      </c>
      <c r="E202" s="13" t="inlineStr">
        <is>
          <t>REVISÃO 7 DIAS</t>
        </is>
      </c>
      <c r="F202" s="12" t="inlineStr">
        <is>
          <t>ACID, transações e performance de banco de dados</t>
        </is>
      </c>
      <c r="G202" s="13" t="inlineStr"/>
      <c r="H202" s="13" t="n"/>
      <c r="I202" s="13" t="n"/>
      <c r="J202" s="35" t="inlineStr">
        <is>
          <t>A FAZER</t>
        </is>
      </c>
    </row>
    <row r="203">
      <c r="A203" s="52" t="n">
        <v>46327</v>
      </c>
      <c r="B203" s="4" t="inlineStr">
        <is>
          <t>Domingo</t>
        </is>
      </c>
      <c r="C203" s="4" t="n">
        <v>201</v>
      </c>
      <c r="D203" s="8" t="inlineStr">
        <is>
          <t>LINGUAGENS DE PROGRAMAÇÃO</t>
        </is>
      </c>
      <c r="E203" s="9" t="inlineStr">
        <is>
          <t>REVISÃO 24H</t>
        </is>
      </c>
      <c r="F203" s="8" t="inlineStr">
        <is>
          <t>Python 3.7+ (sintaxe, estruturas, boas práticas)</t>
        </is>
      </c>
      <c r="G203" s="9" t="inlineStr"/>
      <c r="H203" s="9" t="n"/>
      <c r="I203" s="9" t="n"/>
      <c r="J203" s="35" t="inlineStr">
        <is>
          <t>A FAZER</t>
        </is>
      </c>
    </row>
    <row r="204">
      <c r="A204" s="52" t="n">
        <v>46327</v>
      </c>
      <c r="B204" s="4" t="inlineStr">
        <is>
          <t>Domingo</t>
        </is>
      </c>
      <c r="C204" s="4" t="n">
        <v>202</v>
      </c>
      <c r="D204" s="8" t="inlineStr">
        <is>
          <t>QUALIDADE DE SOFTWARE</t>
        </is>
      </c>
      <c r="E204" s="9" t="inlineStr">
        <is>
          <t>REVISÃO 24H</t>
        </is>
      </c>
      <c r="F204" s="8" t="inlineStr">
        <is>
          <t>Testes de desempenho, carga e vulnerabilidade</t>
        </is>
      </c>
      <c r="G204" s="9" t="inlineStr"/>
      <c r="H204" s="9" t="n"/>
      <c r="I204" s="9" t="n"/>
      <c r="J204" s="35" t="inlineStr">
        <is>
          <t>A FAZER</t>
        </is>
      </c>
    </row>
    <row r="205">
      <c r="A205" s="53" t="n">
        <v>46328</v>
      </c>
      <c r="B205" s="6" t="inlineStr">
        <is>
          <t>Segunda</t>
        </is>
      </c>
      <c r="C205" s="6" t="n">
        <v>203</v>
      </c>
      <c r="D205" s="16" t="inlineStr">
        <is>
          <t>LEGISLAÇÃO INSTITUCIONAL MP</t>
        </is>
      </c>
      <c r="E205" s="17" t="inlineStr">
        <is>
          <t>REVISÃO 30 DIAS</t>
        </is>
      </c>
      <c r="F205" s="16" t="inlineStr">
        <is>
          <t>Lei Orgânica do MPMS (LC Estadual 72/1994)</t>
        </is>
      </c>
      <c r="G205" s="17" t="inlineStr"/>
      <c r="H205" s="17" t="n"/>
      <c r="I205" s="17" t="n"/>
      <c r="J205" s="35" t="inlineStr">
        <is>
          <t>A FAZER</t>
        </is>
      </c>
    </row>
    <row r="206">
      <c r="A206" s="53" t="n">
        <v>46328</v>
      </c>
      <c r="B206" s="6" t="inlineStr">
        <is>
          <t>Segunda</t>
        </is>
      </c>
      <c r="C206" s="6" t="n">
        <v>204</v>
      </c>
      <c r="D206" s="16" t="inlineStr">
        <is>
          <t>ENGENHARIA DE SOFTWARE</t>
        </is>
      </c>
      <c r="E206" s="17" t="inlineStr">
        <is>
          <t>REVISÃO 30 DIAS</t>
        </is>
      </c>
      <c r="F206" s="16" t="inlineStr">
        <is>
          <t>Processos interativo/incremental; práticas ágeis; TDD</t>
        </is>
      </c>
      <c r="G206" s="17" t="inlineStr"/>
      <c r="H206" s="17" t="n"/>
      <c r="I206" s="17" t="n"/>
      <c r="J206" s="35" t="inlineStr">
        <is>
          <t>A FAZER</t>
        </is>
      </c>
    </row>
    <row r="207">
      <c r="A207" s="53" t="n">
        <v>46328</v>
      </c>
      <c r="B207" s="6" t="inlineStr">
        <is>
          <t>Segunda</t>
        </is>
      </c>
      <c r="C207" s="6" t="n">
        <v>205</v>
      </c>
      <c r="D207" s="14" t="inlineStr">
        <is>
          <t>LINGUAGENS DE PROGRAMAÇÃO</t>
        </is>
      </c>
      <c r="E207" s="15" t="inlineStr">
        <is>
          <t>REVISÃO 15 DIAS</t>
        </is>
      </c>
      <c r="F207" s="14" t="inlineStr">
        <is>
          <t>Tratamento de exceções e anotações</t>
        </is>
      </c>
      <c r="G207" s="15" t="inlineStr"/>
      <c r="H207" s="15" t="n"/>
      <c r="I207" s="15" t="n"/>
      <c r="J207" s="35" t="inlineStr">
        <is>
          <t>A FAZER</t>
        </is>
      </c>
    </row>
    <row r="208">
      <c r="A208" s="53" t="n">
        <v>46328</v>
      </c>
      <c r="B208" s="6" t="inlineStr">
        <is>
          <t>Segunda</t>
        </is>
      </c>
      <c r="C208" s="6" t="n">
        <v>206</v>
      </c>
      <c r="D208" s="12" t="inlineStr">
        <is>
          <t>DIREITO CONSTITUCIONAL</t>
        </is>
      </c>
      <c r="E208" s="13" t="inlineStr">
        <is>
          <t>REVISÃO 7 DIAS</t>
        </is>
      </c>
      <c r="F208" s="12" t="inlineStr">
        <is>
          <t>Direitos e Garantias Fundamentais</t>
        </is>
      </c>
      <c r="G208" s="13" t="inlineStr"/>
      <c r="H208" s="13" t="n"/>
      <c r="I208" s="13" t="n"/>
      <c r="J208" s="35" t="inlineStr">
        <is>
          <t>A FAZER</t>
        </is>
      </c>
    </row>
    <row r="209">
      <c r="A209" s="53" t="n">
        <v>46328</v>
      </c>
      <c r="B209" s="6" t="inlineStr">
        <is>
          <t>Segunda</t>
        </is>
      </c>
      <c r="C209" s="6" t="n">
        <v>207</v>
      </c>
      <c r="D209" s="8" t="inlineStr">
        <is>
          <t>ESTRUTURA DE DADOS E ALGORITMOS</t>
        </is>
      </c>
      <c r="E209" s="9" t="inlineStr">
        <is>
          <t>REVISÃO 24H</t>
        </is>
      </c>
      <c r="F209" s="8" t="inlineStr">
        <is>
          <t>Sub-rotinas: chamada por endereço, referência e valor</t>
        </is>
      </c>
      <c r="G209" s="9" t="inlineStr"/>
      <c r="H209" s="9" t="n"/>
      <c r="I209" s="9" t="n"/>
      <c r="J209" s="35" t="inlineStr">
        <is>
          <t>A FAZER</t>
        </is>
      </c>
    </row>
    <row r="210">
      <c r="A210" s="52" t="n">
        <v>46329</v>
      </c>
      <c r="B210" s="4" t="inlineStr">
        <is>
          <t>Terça</t>
        </is>
      </c>
      <c r="C210" s="4" t="n">
        <v>208</v>
      </c>
      <c r="D210" s="5" t="inlineStr">
        <is>
          <t>SEGURANÇA DA INFORMAÇÃO</t>
        </is>
      </c>
      <c r="E210" s="6" t="inlineStr">
        <is>
          <t>ESTUDO</t>
        </is>
      </c>
      <c r="F210" s="5" t="inlineStr">
        <is>
          <t>Desenvolvimento seguro: SAST / DAST / IAST</t>
        </is>
      </c>
      <c r="G210" s="6" t="n">
        <v>120</v>
      </c>
      <c r="H210" s="6" t="n"/>
      <c r="I210" s="6" t="n"/>
      <c r="J210" s="35" t="inlineStr">
        <is>
          <t>A FAZER</t>
        </is>
      </c>
    </row>
    <row r="211">
      <c r="A211" s="52" t="n">
        <v>46329</v>
      </c>
      <c r="B211" s="4" t="inlineStr">
        <is>
          <t>Terça</t>
        </is>
      </c>
      <c r="C211" s="4" t="n">
        <v>209</v>
      </c>
      <c r="D211" s="16" t="inlineStr">
        <is>
          <t>ARQUITETURA DE SOFTWARE</t>
        </is>
      </c>
      <c r="E211" s="17" t="inlineStr">
        <is>
          <t>REVISÃO 30 DIAS</t>
        </is>
      </c>
      <c r="F211" s="16" t="inlineStr">
        <is>
          <t>Padrões de projeto (design patterns) e anti-patterns</t>
        </is>
      </c>
      <c r="G211" s="17" t="inlineStr"/>
      <c r="H211" s="17" t="n"/>
      <c r="I211" s="17" t="n"/>
      <c r="J211" s="35" t="inlineStr">
        <is>
          <t>A FAZER</t>
        </is>
      </c>
    </row>
    <row r="212">
      <c r="A212" s="52" t="n">
        <v>46329</v>
      </c>
      <c r="B212" s="4" t="inlineStr">
        <is>
          <t>Terça</t>
        </is>
      </c>
      <c r="C212" s="4" t="n">
        <v>210</v>
      </c>
      <c r="D212" s="14" t="inlineStr">
        <is>
          <t>ESTRUTURA DE DADOS E ALGORITMOS</t>
        </is>
      </c>
      <c r="E212" s="15" t="inlineStr">
        <is>
          <t>REVISÃO 15 DIAS</t>
        </is>
      </c>
      <c r="F212" s="14" t="inlineStr">
        <is>
          <t>Programação recursiva</t>
        </is>
      </c>
      <c r="G212" s="15" t="inlineStr"/>
      <c r="H212" s="15" t="n"/>
      <c r="I212" s="15" t="n"/>
      <c r="J212" s="35" t="inlineStr">
        <is>
          <t>A FAZER</t>
        </is>
      </c>
    </row>
    <row r="213">
      <c r="A213" s="52" t="n">
        <v>46329</v>
      </c>
      <c r="B213" s="4" t="inlineStr">
        <is>
          <t>Terça</t>
        </is>
      </c>
      <c r="C213" s="4" t="n">
        <v>211</v>
      </c>
      <c r="D213" s="12" t="inlineStr">
        <is>
          <t>DIREITO ADMINISTRATIVO</t>
        </is>
      </c>
      <c r="E213" s="13" t="inlineStr">
        <is>
          <t>REVISÃO 7 DIAS</t>
        </is>
      </c>
      <c r="F213" s="12" t="inlineStr">
        <is>
          <t>Lei 8.666/93, Lei 14.133/2021 e Pregão (Lei 10.520/2002)</t>
        </is>
      </c>
      <c r="G213" s="13" t="inlineStr"/>
      <c r="H213" s="13" t="n"/>
      <c r="I213" s="13" t="n"/>
      <c r="J213" s="35" t="inlineStr">
        <is>
          <t>A FAZER</t>
        </is>
      </c>
    </row>
    <row r="214">
      <c r="A214" s="53" t="n">
        <v>46330</v>
      </c>
      <c r="B214" s="6" t="inlineStr">
        <is>
          <t>Quarta</t>
        </is>
      </c>
      <c r="C214" s="6" t="n">
        <v>212</v>
      </c>
      <c r="D214" s="5" t="inlineStr">
        <is>
          <t>ENGENHARIA DE SOFTWARE</t>
        </is>
      </c>
      <c r="E214" s="6" t="inlineStr">
        <is>
          <t>ESTUDO</t>
        </is>
      </c>
      <c r="F214" s="5" t="inlineStr">
        <is>
          <t>Ciclo de vida e metodologias de desenvolvimento (cascata, ágil)</t>
        </is>
      </c>
      <c r="G214" s="6" t="n">
        <v>120</v>
      </c>
      <c r="H214" s="6" t="n"/>
      <c r="I214" s="6" t="n"/>
      <c r="J214" s="35" t="inlineStr">
        <is>
          <t>A FAZER</t>
        </is>
      </c>
    </row>
    <row r="215">
      <c r="A215" s="53" t="n">
        <v>46330</v>
      </c>
      <c r="B215" s="6" t="inlineStr">
        <is>
          <t>Quarta</t>
        </is>
      </c>
      <c r="C215" s="6" t="n">
        <v>213</v>
      </c>
      <c r="D215" s="16" t="inlineStr">
        <is>
          <t>QUALIDADE DE SOFTWARE</t>
        </is>
      </c>
      <c r="E215" s="17" t="inlineStr">
        <is>
          <t>REVISÃO 30 DIAS</t>
        </is>
      </c>
      <c r="F215" s="16" t="inlineStr">
        <is>
          <t>Testes: unitário, integração, funcional, aceitação</t>
        </is>
      </c>
      <c r="G215" s="17" t="inlineStr"/>
      <c r="H215" s="17" t="n"/>
      <c r="I215" s="17" t="n"/>
      <c r="J215" s="35" t="inlineStr">
        <is>
          <t>A FAZER</t>
        </is>
      </c>
    </row>
    <row r="216">
      <c r="A216" s="53" t="n">
        <v>46330</v>
      </c>
      <c r="B216" s="6" t="inlineStr">
        <is>
          <t>Quarta</t>
        </is>
      </c>
      <c r="C216" s="6" t="n">
        <v>214</v>
      </c>
      <c r="D216" s="14" t="inlineStr">
        <is>
          <t>ARQUITETURA / BANCO DE DADOS</t>
        </is>
      </c>
      <c r="E216" s="15" t="inlineStr">
        <is>
          <t>REVISÃO 15 DIAS</t>
        </is>
      </c>
      <c r="F216" s="14" t="inlineStr">
        <is>
          <t>SQL: DDL, DML, DCL, DTL</t>
        </is>
      </c>
      <c r="G216" s="15" t="inlineStr"/>
      <c r="H216" s="15" t="n"/>
      <c r="I216" s="15" t="n"/>
      <c r="J216" s="35" t="inlineStr">
        <is>
          <t>A FAZER</t>
        </is>
      </c>
    </row>
    <row r="217">
      <c r="A217" s="53" t="n">
        <v>46330</v>
      </c>
      <c r="B217" s="6" t="inlineStr">
        <is>
          <t>Quarta</t>
        </is>
      </c>
      <c r="C217" s="6" t="n">
        <v>215</v>
      </c>
      <c r="D217" s="12" t="inlineStr">
        <is>
          <t>LEGISLAÇÃO INSTITUCIONAL MP</t>
        </is>
      </c>
      <c r="E217" s="13" t="inlineStr">
        <is>
          <t>REVISÃO 7 DIAS</t>
        </is>
      </c>
      <c r="F217" s="12" t="inlineStr">
        <is>
          <t>Plano de Cargos/Carreiras MPMS (Lei 4.134/2011) + LGPD (Lei 13.709/2018)</t>
        </is>
      </c>
      <c r="G217" s="13" t="inlineStr"/>
      <c r="H217" s="13" t="n"/>
      <c r="I217" s="13" t="n"/>
      <c r="J217" s="35" t="inlineStr">
        <is>
          <t>A FAZER</t>
        </is>
      </c>
    </row>
    <row r="218">
      <c r="A218" s="53" t="n">
        <v>46330</v>
      </c>
      <c r="B218" s="6" t="inlineStr">
        <is>
          <t>Quarta</t>
        </is>
      </c>
      <c r="C218" s="6" t="n">
        <v>216</v>
      </c>
      <c r="D218" s="8" t="inlineStr">
        <is>
          <t>SEGURANÇA DA INFORMAÇÃO</t>
        </is>
      </c>
      <c r="E218" s="9" t="inlineStr">
        <is>
          <t>REVISÃO 24H</t>
        </is>
      </c>
      <c r="F218" s="8" t="inlineStr">
        <is>
          <t>Desenvolvimento seguro: SAST / DAST / IAST</t>
        </is>
      </c>
      <c r="G218" s="9" t="inlineStr"/>
      <c r="H218" s="9" t="n"/>
      <c r="I218" s="9" t="n"/>
      <c r="J218" s="35" t="inlineStr">
        <is>
          <t>A FAZER</t>
        </is>
      </c>
    </row>
    <row r="219">
      <c r="A219" s="52" t="n">
        <v>46331</v>
      </c>
      <c r="B219" s="4" t="inlineStr">
        <is>
          <t>Quinta</t>
        </is>
      </c>
      <c r="C219" s="4" t="n">
        <v>217</v>
      </c>
      <c r="D219" s="5" t="inlineStr">
        <is>
          <t>ARQUITETURA DE SOFTWARE</t>
        </is>
      </c>
      <c r="E219" s="6" t="inlineStr">
        <is>
          <t>ESTUDO</t>
        </is>
      </c>
      <c r="F219" s="5" t="inlineStr">
        <is>
          <t>Padrão MVC; Microsserviços; Arquitetura orientada a eventos</t>
        </is>
      </c>
      <c r="G219" s="6" t="n">
        <v>120</v>
      </c>
      <c r="H219" s="6" t="n"/>
      <c r="I219" s="6" t="n"/>
      <c r="J219" s="35" t="inlineStr">
        <is>
          <t>A FAZER</t>
        </is>
      </c>
    </row>
    <row r="220">
      <c r="A220" s="52" t="n">
        <v>46331</v>
      </c>
      <c r="B220" s="4" t="inlineStr">
        <is>
          <t>Quinta</t>
        </is>
      </c>
      <c r="C220" s="4" t="n">
        <v>218</v>
      </c>
      <c r="D220" s="16" t="inlineStr">
        <is>
          <t>ESTRUTURA DE DADOS E ALGORITMOS</t>
        </is>
      </c>
      <c r="E220" s="17" t="inlineStr">
        <is>
          <t>REVISÃO 30 DIAS</t>
        </is>
      </c>
      <c r="F220" s="16" t="inlineStr">
        <is>
          <t>Algoritmos de pesquisa e ordenação</t>
        </is>
      </c>
      <c r="G220" s="17" t="inlineStr"/>
      <c r="H220" s="17" t="n"/>
      <c r="I220" s="17" t="n"/>
      <c r="J220" s="35" t="inlineStr">
        <is>
          <t>A FAZER</t>
        </is>
      </c>
    </row>
    <row r="221">
      <c r="A221" s="52" t="n">
        <v>46331</v>
      </c>
      <c r="B221" s="4" t="inlineStr">
        <is>
          <t>Quinta</t>
        </is>
      </c>
      <c r="C221" s="4" t="n">
        <v>219</v>
      </c>
      <c r="D221" s="14" t="inlineStr">
        <is>
          <t>SEGURANÇA DA INFORMAÇÃO</t>
        </is>
      </c>
      <c r="E221" s="15" t="inlineStr">
        <is>
          <t>REVISÃO 15 DIAS</t>
        </is>
      </c>
      <c r="F221" s="14" t="inlineStr">
        <is>
          <t>Gestão de identidade e acesso (autenticação, autorização, auditoria)</t>
        </is>
      </c>
      <c r="G221" s="15" t="inlineStr"/>
      <c r="H221" s="15" t="n"/>
      <c r="I221" s="15" t="n"/>
      <c r="J221" s="35" t="inlineStr">
        <is>
          <t>A FAZER</t>
        </is>
      </c>
    </row>
    <row r="222">
      <c r="A222" s="52" t="n">
        <v>46331</v>
      </c>
      <c r="B222" s="4" t="inlineStr">
        <is>
          <t>Quinta</t>
        </is>
      </c>
      <c r="C222" s="4" t="n">
        <v>220</v>
      </c>
      <c r="D222" s="12" t="inlineStr">
        <is>
          <t>ENGENHARIA DE SOFTWARE</t>
        </is>
      </c>
      <c r="E222" s="13" t="inlineStr">
        <is>
          <t>REVISÃO 7 DIAS</t>
        </is>
      </c>
      <c r="F222" s="12" t="inlineStr">
        <is>
          <t>DevOps e CI/CD (conceitos e ferramentas)</t>
        </is>
      </c>
      <c r="G222" s="13" t="inlineStr"/>
      <c r="H222" s="13" t="n"/>
      <c r="I222" s="13" t="n"/>
      <c r="J222" s="35" t="inlineStr">
        <is>
          <t>A FAZER</t>
        </is>
      </c>
    </row>
    <row r="223">
      <c r="A223" s="52" t="n">
        <v>46331</v>
      </c>
      <c r="B223" s="4" t="inlineStr">
        <is>
          <t>Quinta</t>
        </is>
      </c>
      <c r="C223" s="4" t="n">
        <v>221</v>
      </c>
      <c r="D223" s="8" t="inlineStr">
        <is>
          <t>ENGENHARIA DE SOFTWARE</t>
        </is>
      </c>
      <c r="E223" s="9" t="inlineStr">
        <is>
          <t>REVISÃO 24H</t>
        </is>
      </c>
      <c r="F223" s="8" t="inlineStr">
        <is>
          <t>Ciclo de vida e metodologias de desenvolvimento (cascata, ágil)</t>
        </is>
      </c>
      <c r="G223" s="9" t="inlineStr"/>
      <c r="H223" s="9" t="n"/>
      <c r="I223" s="9" t="n"/>
      <c r="J223" s="35" t="inlineStr">
        <is>
          <t>A FAZER</t>
        </is>
      </c>
    </row>
    <row r="224">
      <c r="A224" s="53" t="n">
        <v>46332</v>
      </c>
      <c r="B224" s="6" t="inlineStr">
        <is>
          <t>Sexta</t>
        </is>
      </c>
      <c r="C224" s="6" t="n">
        <v>222</v>
      </c>
      <c r="D224" s="5" t="inlineStr">
        <is>
          <t>LINGUAGENS DE PROGRAMAÇÃO</t>
        </is>
      </c>
      <c r="E224" s="6" t="inlineStr">
        <is>
          <t>ESTUDO</t>
        </is>
      </c>
      <c r="F224" s="5" t="inlineStr">
        <is>
          <t>Java Core 8+ (sintaxe, streams, coleções)</t>
        </is>
      </c>
      <c r="G224" s="6" t="n">
        <v>120</v>
      </c>
      <c r="H224" s="6" t="n"/>
      <c r="I224" s="6" t="n"/>
      <c r="J224" s="35" t="inlineStr">
        <is>
          <t>A FAZER</t>
        </is>
      </c>
    </row>
    <row r="225">
      <c r="A225" s="53" t="n">
        <v>46332</v>
      </c>
      <c r="B225" s="6" t="inlineStr">
        <is>
          <t>Sexta</t>
        </is>
      </c>
      <c r="C225" s="6" t="n">
        <v>223</v>
      </c>
      <c r="D225" s="16" t="inlineStr">
        <is>
          <t>ARQUITETURA / BANCO DE DADOS</t>
        </is>
      </c>
      <c r="E225" s="17" t="inlineStr">
        <is>
          <t>REVISÃO 30 DIAS</t>
        </is>
      </c>
      <c r="F225" s="16" t="inlineStr">
        <is>
          <t>Modelagem dimensional e avaliação de modelos</t>
        </is>
      </c>
      <c r="G225" s="17" t="inlineStr"/>
      <c r="H225" s="17" t="n"/>
      <c r="I225" s="17" t="n"/>
      <c r="J225" s="35" t="inlineStr">
        <is>
          <t>A FAZER</t>
        </is>
      </c>
    </row>
    <row r="226">
      <c r="A226" s="53" t="n">
        <v>46332</v>
      </c>
      <c r="B226" s="6" t="inlineStr">
        <is>
          <t>Sexta</t>
        </is>
      </c>
      <c r="C226" s="6" t="n">
        <v>224</v>
      </c>
      <c r="D226" s="14" t="inlineStr">
        <is>
          <t>ENGENHARIA DE SOFTWARE</t>
        </is>
      </c>
      <c r="E226" s="15" t="inlineStr">
        <is>
          <t>REVISÃO 15 DIAS</t>
        </is>
      </c>
      <c r="F226" s="14" t="inlineStr">
        <is>
          <t>Diagrama Entidade-Relacionamento (ER) e modelagem</t>
        </is>
      </c>
      <c r="G226" s="15" t="inlineStr"/>
      <c r="H226" s="15" t="n"/>
      <c r="I226" s="15" t="n"/>
      <c r="J226" s="35" t="inlineStr">
        <is>
          <t>A FAZER</t>
        </is>
      </c>
    </row>
    <row r="227">
      <c r="A227" s="53" t="n">
        <v>46332</v>
      </c>
      <c r="B227" s="6" t="inlineStr">
        <is>
          <t>Sexta</t>
        </is>
      </c>
      <c r="C227" s="6" t="n">
        <v>225</v>
      </c>
      <c r="D227" s="12" t="inlineStr">
        <is>
          <t>ARQUITETURA DE SOFTWARE</t>
        </is>
      </c>
      <c r="E227" s="13" t="inlineStr">
        <is>
          <t>REVISÃO 7 DIAS</t>
        </is>
      </c>
      <c r="F227" s="12" t="inlineStr">
        <is>
          <t>Refatoração, modernização e componentização de software</t>
        </is>
      </c>
      <c r="G227" s="13" t="inlineStr"/>
      <c r="H227" s="13" t="n"/>
      <c r="I227" s="13" t="n"/>
      <c r="J227" s="35" t="inlineStr">
        <is>
          <t>A FAZER</t>
        </is>
      </c>
    </row>
    <row r="228">
      <c r="A228" s="53" t="n">
        <v>46332</v>
      </c>
      <c r="B228" s="6" t="inlineStr">
        <is>
          <t>Sexta</t>
        </is>
      </c>
      <c r="C228" s="6" t="n">
        <v>226</v>
      </c>
      <c r="D228" s="8" t="inlineStr">
        <is>
          <t>ARQUITETURA DE SOFTWARE</t>
        </is>
      </c>
      <c r="E228" s="9" t="inlineStr">
        <is>
          <t>REVISÃO 24H</t>
        </is>
      </c>
      <c r="F228" s="8" t="inlineStr">
        <is>
          <t>Padrão MVC; Microsserviços; Arquitetura orientada a eventos</t>
        </is>
      </c>
      <c r="G228" s="9" t="inlineStr"/>
      <c r="H228" s="9" t="n"/>
      <c r="I228" s="9" t="n"/>
      <c r="J228" s="35" t="inlineStr">
        <is>
          <t>A FAZER</t>
        </is>
      </c>
    </row>
    <row r="229">
      <c r="A229" s="52" t="n">
        <v>46333</v>
      </c>
      <c r="B229" s="4" t="inlineStr">
        <is>
          <t>Sábado</t>
        </is>
      </c>
      <c r="C229" s="4" t="n">
        <v>227</v>
      </c>
      <c r="D229" s="5" t="inlineStr">
        <is>
          <t>ESTRUTURA DE DADOS E ALGORITMOS</t>
        </is>
      </c>
      <c r="E229" s="6" t="inlineStr">
        <is>
          <t>ESTUDO</t>
        </is>
      </c>
      <c r="F229" s="5" t="inlineStr">
        <is>
          <t>Algoritmos de pesquisa e ordenação</t>
        </is>
      </c>
      <c r="G229" s="6" t="n">
        <v>120</v>
      </c>
      <c r="H229" s="6" t="n"/>
      <c r="I229" s="6" t="n"/>
      <c r="J229" s="35" t="inlineStr">
        <is>
          <t>A FAZER</t>
        </is>
      </c>
    </row>
    <row r="230">
      <c r="A230" s="52" t="n">
        <v>46333</v>
      </c>
      <c r="B230" s="4" t="inlineStr">
        <is>
          <t>Sábado</t>
        </is>
      </c>
      <c r="C230" s="4" t="n">
        <v>228</v>
      </c>
      <c r="D230" s="5" t="inlineStr">
        <is>
          <t>ARQUITETURA / BANCO DE DADOS</t>
        </is>
      </c>
      <c r="E230" s="6" t="inlineStr">
        <is>
          <t>ESTUDO</t>
        </is>
      </c>
      <c r="F230" s="5" t="inlineStr">
        <is>
          <t>ETL e integração de dados; BI e mapeamento de fontes</t>
        </is>
      </c>
      <c r="G230" s="6" t="n">
        <v>120</v>
      </c>
      <c r="H230" s="6" t="n"/>
      <c r="I230" s="6" t="n"/>
      <c r="J230" s="35" t="inlineStr">
        <is>
          <t>A FAZER</t>
        </is>
      </c>
    </row>
    <row r="231">
      <c r="A231" s="52" t="n">
        <v>46333</v>
      </c>
      <c r="B231" s="4" t="inlineStr">
        <is>
          <t>Sábado</t>
        </is>
      </c>
      <c r="C231" s="4" t="n">
        <v>229</v>
      </c>
      <c r="D231" s="16" t="inlineStr">
        <is>
          <t>SEGURANÇA DA INFORMAÇÃO</t>
        </is>
      </c>
      <c r="E231" s="17" t="inlineStr">
        <is>
          <t>REVISÃO 30 DIAS</t>
        </is>
      </c>
      <c r="F231" s="16" t="inlineStr">
        <is>
          <t>SSO (Single Sign-On) e Autenticação Multifator (MFA)</t>
        </is>
      </c>
      <c r="G231" s="17" t="inlineStr"/>
      <c r="H231" s="17" t="n"/>
      <c r="I231" s="17" t="n"/>
      <c r="J231" s="35" t="inlineStr">
        <is>
          <t>A FAZER</t>
        </is>
      </c>
    </row>
    <row r="232">
      <c r="A232" s="52" t="n">
        <v>46333</v>
      </c>
      <c r="B232" s="4" t="inlineStr">
        <is>
          <t>Sábado</t>
        </is>
      </c>
      <c r="C232" s="4" t="n">
        <v>230</v>
      </c>
      <c r="D232" s="14" t="inlineStr">
        <is>
          <t>ARQUITETURA DE SOFTWARE</t>
        </is>
      </c>
      <c r="E232" s="15" t="inlineStr">
        <is>
          <t>REVISÃO 15 DIAS</t>
        </is>
      </c>
      <c r="F232" s="14" t="inlineStr">
        <is>
          <t>Padrões SOAP, REST, XML, XSLT, WSDL, JSON, RMI</t>
        </is>
      </c>
      <c r="G232" s="15" t="inlineStr"/>
      <c r="H232" s="15" t="n"/>
      <c r="I232" s="15" t="n"/>
      <c r="J232" s="35" t="inlineStr">
        <is>
          <t>A FAZER</t>
        </is>
      </c>
    </row>
    <row r="233">
      <c r="A233" s="52" t="n">
        <v>46333</v>
      </c>
      <c r="B233" s="4" t="inlineStr">
        <is>
          <t>Sábado</t>
        </is>
      </c>
      <c r="C233" s="4" t="n">
        <v>231</v>
      </c>
      <c r="D233" s="12" t="inlineStr">
        <is>
          <t>LINGUAGENS DE PROGRAMAÇÃO</t>
        </is>
      </c>
      <c r="E233" s="13" t="inlineStr">
        <is>
          <t>REVISÃO 7 DIAS</t>
        </is>
      </c>
      <c r="F233" s="12" t="inlineStr">
        <is>
          <t>Python 3.7+ (sintaxe, estruturas, boas práticas)</t>
        </is>
      </c>
      <c r="G233" s="13" t="inlineStr"/>
      <c r="H233" s="13" t="n"/>
      <c r="I233" s="13" t="n"/>
      <c r="J233" s="35" t="inlineStr">
        <is>
          <t>A FAZER</t>
        </is>
      </c>
    </row>
    <row r="234">
      <c r="A234" s="52" t="n">
        <v>46333</v>
      </c>
      <c r="B234" s="4" t="inlineStr">
        <is>
          <t>Sábado</t>
        </is>
      </c>
      <c r="C234" s="4" t="n">
        <v>232</v>
      </c>
      <c r="D234" s="12" t="inlineStr">
        <is>
          <t>QUALIDADE DE SOFTWARE</t>
        </is>
      </c>
      <c r="E234" s="13" t="inlineStr">
        <is>
          <t>REVISÃO 7 DIAS</t>
        </is>
      </c>
      <c r="F234" s="12" t="inlineStr">
        <is>
          <t>Testes de desempenho, carga e vulnerabilidade</t>
        </is>
      </c>
      <c r="G234" s="13" t="inlineStr"/>
      <c r="H234" s="13" t="n"/>
      <c r="I234" s="13" t="n"/>
      <c r="J234" s="35" t="inlineStr">
        <is>
          <t>A FAZER</t>
        </is>
      </c>
    </row>
    <row r="235">
      <c r="A235" s="52" t="n">
        <v>46333</v>
      </c>
      <c r="B235" s="4" t="inlineStr">
        <is>
          <t>Sábado</t>
        </is>
      </c>
      <c r="C235" s="4" t="n">
        <v>233</v>
      </c>
      <c r="D235" s="8" t="inlineStr">
        <is>
          <t>LINGUAGENS DE PROGRAMAÇÃO</t>
        </is>
      </c>
      <c r="E235" s="9" t="inlineStr">
        <is>
          <t>REVISÃO 24H</t>
        </is>
      </c>
      <c r="F235" s="8" t="inlineStr">
        <is>
          <t>Java Core 8+ (sintaxe, streams, coleções)</t>
        </is>
      </c>
      <c r="G235" s="9" t="inlineStr"/>
      <c r="H235" s="9" t="n"/>
      <c r="I235" s="9" t="n"/>
      <c r="J235" s="35" t="inlineStr">
        <is>
          <t>A FAZER</t>
        </is>
      </c>
    </row>
    <row r="236">
      <c r="A236" s="53" t="n">
        <v>46334</v>
      </c>
      <c r="B236" s="6" t="inlineStr">
        <is>
          <t>Domingo</t>
        </is>
      </c>
      <c r="C236" s="6" t="n">
        <v>234</v>
      </c>
      <c r="D236" s="5" t="inlineStr">
        <is>
          <t>LÍNGUA PORTUGUESA</t>
        </is>
      </c>
      <c r="E236" s="6" t="inlineStr">
        <is>
          <t>ESTUDO</t>
        </is>
      </c>
      <c r="F236" s="5" t="inlineStr">
        <is>
          <t>Coesão e coerência textual; reescrita de frases</t>
        </is>
      </c>
      <c r="G236" s="6" t="n">
        <v>120</v>
      </c>
      <c r="H236" s="6" t="n"/>
      <c r="I236" s="6" t="n"/>
      <c r="J236" s="35" t="inlineStr">
        <is>
          <t>A FAZER</t>
        </is>
      </c>
    </row>
    <row r="237">
      <c r="A237" s="53" t="n">
        <v>46334</v>
      </c>
      <c r="B237" s="6" t="inlineStr">
        <is>
          <t>Domingo</t>
        </is>
      </c>
      <c r="C237" s="6" t="n">
        <v>235</v>
      </c>
      <c r="D237" s="10" t="inlineStr">
        <is>
          <t>DIREITO CONSTITUCIONAL</t>
        </is>
      </c>
      <c r="E237" s="11" t="inlineStr">
        <is>
          <t>SIMULADO</t>
        </is>
      </c>
      <c r="F237" s="10" t="inlineStr">
        <is>
          <t>Simulado misto (questões de todas as matérias da semana)</t>
        </is>
      </c>
      <c r="G237" s="11" t="n">
        <v>120</v>
      </c>
      <c r="H237" s="11" t="n"/>
      <c r="I237" s="11" t="n"/>
      <c r="J237" s="35" t="inlineStr">
        <is>
          <t>A FAZER</t>
        </is>
      </c>
    </row>
    <row r="238">
      <c r="A238" s="53" t="n">
        <v>46334</v>
      </c>
      <c r="B238" s="6" t="inlineStr">
        <is>
          <t>Domingo</t>
        </is>
      </c>
      <c r="C238" s="6" t="n">
        <v>236</v>
      </c>
      <c r="D238" s="16" t="inlineStr">
        <is>
          <t>ENGENHARIA DE SOFTWARE</t>
        </is>
      </c>
      <c r="E238" s="17" t="inlineStr">
        <is>
          <t>REVISÃO 30 DIAS</t>
        </is>
      </c>
      <c r="F238" s="16" t="inlineStr">
        <is>
          <t>Gerenciamento de ciclo de vida de aplicações; Integração contínua</t>
        </is>
      </c>
      <c r="G238" s="17" t="inlineStr"/>
      <c r="H238" s="17" t="n"/>
      <c r="I238" s="17" t="n"/>
      <c r="J238" s="35" t="inlineStr">
        <is>
          <t>A FAZER</t>
        </is>
      </c>
    </row>
    <row r="239">
      <c r="A239" s="53" t="n">
        <v>46334</v>
      </c>
      <c r="B239" s="6" t="inlineStr">
        <is>
          <t>Domingo</t>
        </is>
      </c>
      <c r="C239" s="6" t="n">
        <v>237</v>
      </c>
      <c r="D239" s="14" t="inlineStr">
        <is>
          <t>LINGUAGENS DE PROGRAMAÇÃO</t>
        </is>
      </c>
      <c r="E239" s="15" t="inlineStr">
        <is>
          <t>REVISÃO 15 DIAS</t>
        </is>
      </c>
      <c r="F239" s="14" t="inlineStr">
        <is>
          <t>HTML5, CSS3 e JavaScript</t>
        </is>
      </c>
      <c r="G239" s="15" t="inlineStr"/>
      <c r="H239" s="15" t="n"/>
      <c r="I239" s="15" t="n"/>
      <c r="J239" s="35" t="inlineStr">
        <is>
          <t>A FAZER</t>
        </is>
      </c>
    </row>
    <row r="240">
      <c r="A240" s="53" t="n">
        <v>46334</v>
      </c>
      <c r="B240" s="6" t="inlineStr">
        <is>
          <t>Domingo</t>
        </is>
      </c>
      <c r="C240" s="6" t="n">
        <v>238</v>
      </c>
      <c r="D240" s="14" t="inlineStr">
        <is>
          <t>ESTRUTURA DE DADOS E ALGORITMOS</t>
        </is>
      </c>
      <c r="E240" s="15" t="inlineStr">
        <is>
          <t>REVISÃO 15 DIAS</t>
        </is>
      </c>
      <c r="F240" s="14" t="inlineStr">
        <is>
          <t>Tipos básicos e abstratos de dados (lista, fila, pilha, árvore)</t>
        </is>
      </c>
      <c r="G240" s="15" t="inlineStr"/>
      <c r="H240" s="15" t="n"/>
      <c r="I240" s="15" t="n"/>
      <c r="J240" s="35" t="inlineStr">
        <is>
          <t>A FAZER</t>
        </is>
      </c>
    </row>
    <row r="241">
      <c r="A241" s="53" t="n">
        <v>46334</v>
      </c>
      <c r="B241" s="6" t="inlineStr">
        <is>
          <t>Domingo</t>
        </is>
      </c>
      <c r="C241" s="6" t="n">
        <v>239</v>
      </c>
      <c r="D241" s="12" t="inlineStr">
        <is>
          <t>ESTRUTURA DE DADOS E ALGORITMOS</t>
        </is>
      </c>
      <c r="E241" s="13" t="inlineStr">
        <is>
          <t>REVISÃO 7 DIAS</t>
        </is>
      </c>
      <c r="F241" s="12" t="inlineStr">
        <is>
          <t>Sub-rotinas: chamada por endereço, referência e valor</t>
        </is>
      </c>
      <c r="G241" s="13" t="inlineStr"/>
      <c r="H241" s="13" t="n"/>
      <c r="I241" s="13" t="n"/>
      <c r="J241" s="35" t="inlineStr">
        <is>
          <t>A FAZER</t>
        </is>
      </c>
    </row>
    <row r="242">
      <c r="A242" s="53" t="n">
        <v>46334</v>
      </c>
      <c r="B242" s="6" t="inlineStr">
        <is>
          <t>Domingo</t>
        </is>
      </c>
      <c r="C242" s="6" t="n">
        <v>240</v>
      </c>
      <c r="D242" s="8" t="inlineStr">
        <is>
          <t>ESTRUTURA DE DADOS E ALGORITMOS</t>
        </is>
      </c>
      <c r="E242" s="9" t="inlineStr">
        <is>
          <t>REVISÃO 24H</t>
        </is>
      </c>
      <c r="F242" s="8" t="inlineStr">
        <is>
          <t>Algoritmos de pesquisa e ordenação</t>
        </is>
      </c>
      <c r="G242" s="9" t="inlineStr"/>
      <c r="H242" s="9" t="n"/>
      <c r="I242" s="9" t="n"/>
      <c r="J242" s="35" t="inlineStr">
        <is>
          <t>A FAZER</t>
        </is>
      </c>
    </row>
    <row r="243">
      <c r="A243" s="53" t="n">
        <v>46334</v>
      </c>
      <c r="B243" s="6" t="inlineStr">
        <is>
          <t>Domingo</t>
        </is>
      </c>
      <c r="C243" s="6" t="n">
        <v>241</v>
      </c>
      <c r="D243" s="8" t="inlineStr">
        <is>
          <t>ARQUITETURA / BANCO DE DADOS</t>
        </is>
      </c>
      <c r="E243" s="9" t="inlineStr">
        <is>
          <t>REVISÃO 24H</t>
        </is>
      </c>
      <c r="F243" s="8" t="inlineStr">
        <is>
          <t>ETL e integração de dados; BI e mapeamento de fontes</t>
        </is>
      </c>
      <c r="G243" s="9" t="inlineStr"/>
      <c r="H243" s="9" t="n"/>
      <c r="I243" s="9" t="n"/>
      <c r="J243" s="35" t="inlineStr">
        <is>
          <t>A FAZER</t>
        </is>
      </c>
    </row>
    <row r="244">
      <c r="A244" s="52" t="n">
        <v>46335</v>
      </c>
      <c r="B244" s="4" t="inlineStr">
        <is>
          <t>Segunda</t>
        </is>
      </c>
      <c r="C244" s="4" t="n">
        <v>242</v>
      </c>
      <c r="D244" s="5" t="inlineStr">
        <is>
          <t>DIREITO ADMINISTRATIVO</t>
        </is>
      </c>
      <c r="E244" s="6" t="inlineStr">
        <is>
          <t>ESTUDO</t>
        </is>
      </c>
      <c r="F244" s="5" t="inlineStr">
        <is>
          <t>Serviços Públicos; Agentes Públicos e Concurso Público</t>
        </is>
      </c>
      <c r="G244" s="6" t="n">
        <v>120</v>
      </c>
      <c r="H244" s="6" t="n"/>
      <c r="I244" s="6" t="n"/>
      <c r="J244" s="35" t="inlineStr">
        <is>
          <t>A FAZER</t>
        </is>
      </c>
    </row>
    <row r="245">
      <c r="A245" s="52" t="n">
        <v>46335</v>
      </c>
      <c r="B245" s="4" t="inlineStr">
        <is>
          <t>Segunda</t>
        </is>
      </c>
      <c r="C245" s="4" t="n">
        <v>243</v>
      </c>
      <c r="D245" s="16" t="inlineStr">
        <is>
          <t>ARQUITETURA DE SOFTWARE</t>
        </is>
      </c>
      <c r="E245" s="17" t="inlineStr">
        <is>
          <t>REVISÃO 30 DIAS</t>
        </is>
      </c>
      <c r="F245" s="16" t="inlineStr">
        <is>
          <t>Conteinerização; servidores de aplicação</t>
        </is>
      </c>
      <c r="G245" s="17" t="inlineStr"/>
      <c r="H245" s="17" t="n"/>
      <c r="I245" s="17" t="n"/>
      <c r="J245" s="35" t="inlineStr">
        <is>
          <t>A FAZER</t>
        </is>
      </c>
    </row>
    <row r="246">
      <c r="A246" s="52" t="n">
        <v>46335</v>
      </c>
      <c r="B246" s="4" t="inlineStr">
        <is>
          <t>Segunda</t>
        </is>
      </c>
      <c r="C246" s="4" t="n">
        <v>244</v>
      </c>
      <c r="D246" s="16" t="inlineStr">
        <is>
          <t>LINGUAGENS DE PROGRAMAÇÃO</t>
        </is>
      </c>
      <c r="E246" s="17" t="inlineStr">
        <is>
          <t>REVISÃO 30 DIAS</t>
        </is>
      </c>
      <c r="F246" s="16" t="inlineStr">
        <is>
          <t>Coleções, tipos genéricos, threads e escalonamento</t>
        </is>
      </c>
      <c r="G246" s="17" t="inlineStr"/>
      <c r="H246" s="17" t="n"/>
      <c r="I246" s="17" t="n"/>
      <c r="J246" s="35" t="inlineStr">
        <is>
          <t>A FAZER</t>
        </is>
      </c>
    </row>
    <row r="247">
      <c r="A247" s="52" t="n">
        <v>46335</v>
      </c>
      <c r="B247" s="4" t="inlineStr">
        <is>
          <t>Segunda</t>
        </is>
      </c>
      <c r="C247" s="4" t="n">
        <v>245</v>
      </c>
      <c r="D247" s="14" t="inlineStr">
        <is>
          <t>ARQUITETURA / BANCO DE DADOS</t>
        </is>
      </c>
      <c r="E247" s="15" t="inlineStr">
        <is>
          <t>REVISÃO 15 DIAS</t>
        </is>
      </c>
      <c r="F247" s="14" t="inlineStr">
        <is>
          <t>ACID, transações e performance de banco de dados</t>
        </is>
      </c>
      <c r="G247" s="15" t="inlineStr"/>
      <c r="H247" s="15" t="n"/>
      <c r="I247" s="15" t="n"/>
      <c r="J247" s="35" t="inlineStr">
        <is>
          <t>A FAZER</t>
        </is>
      </c>
    </row>
    <row r="248">
      <c r="A248" s="52" t="n">
        <v>46335</v>
      </c>
      <c r="B248" s="4" t="inlineStr">
        <is>
          <t>Segunda</t>
        </is>
      </c>
      <c r="C248" s="4" t="n">
        <v>246</v>
      </c>
      <c r="D248" s="8" t="inlineStr">
        <is>
          <t>LÍNGUA PORTUGUESA</t>
        </is>
      </c>
      <c r="E248" s="9" t="inlineStr">
        <is>
          <t>REVISÃO 24H</t>
        </is>
      </c>
      <c r="F248" s="8" t="inlineStr">
        <is>
          <t>Coesão e coerência textual; reescrita de frases</t>
        </is>
      </c>
      <c r="G248" s="9" t="inlineStr"/>
      <c r="H248" s="9" t="n"/>
      <c r="I248" s="9" t="n"/>
      <c r="J248" s="35" t="inlineStr">
        <is>
          <t>A FAZER</t>
        </is>
      </c>
    </row>
    <row r="249">
      <c r="A249" s="53" t="n">
        <v>46336</v>
      </c>
      <c r="B249" s="6" t="inlineStr">
        <is>
          <t>Terça</t>
        </is>
      </c>
      <c r="C249" s="6" t="n">
        <v>247</v>
      </c>
      <c r="D249" s="5" t="inlineStr">
        <is>
          <t>LEGISLAÇÃO INSTITUCIONAL MP</t>
        </is>
      </c>
      <c r="E249" s="6" t="inlineStr">
        <is>
          <t>ESTUDO</t>
        </is>
      </c>
      <c r="F249" s="5" t="inlineStr">
        <is>
          <t>Política Antifraude e Código de Ética do MPMS</t>
        </is>
      </c>
      <c r="G249" s="6" t="n">
        <v>120</v>
      </c>
      <c r="H249" s="6" t="n"/>
      <c r="I249" s="6" t="n"/>
      <c r="J249" s="35" t="inlineStr">
        <is>
          <t>A FAZER</t>
        </is>
      </c>
    </row>
    <row r="250">
      <c r="A250" s="53" t="n">
        <v>46336</v>
      </c>
      <c r="B250" s="6" t="inlineStr">
        <is>
          <t>Terça</t>
        </is>
      </c>
      <c r="C250" s="6" t="n">
        <v>248</v>
      </c>
      <c r="D250" s="16" t="inlineStr">
        <is>
          <t>ESTRUTURA DE DADOS E ALGORITMOS</t>
        </is>
      </c>
      <c r="E250" s="17" t="inlineStr">
        <is>
          <t>REVISÃO 30 DIAS</t>
        </is>
      </c>
      <c r="F250" s="16" t="inlineStr">
        <is>
          <t>Listas lineares, encadeadas, vetores e matrizes</t>
        </is>
      </c>
      <c r="G250" s="17" t="inlineStr"/>
      <c r="H250" s="17" t="n"/>
      <c r="I250" s="17" t="n"/>
      <c r="J250" s="35" t="inlineStr">
        <is>
          <t>A FAZER</t>
        </is>
      </c>
    </row>
    <row r="251">
      <c r="A251" s="53" t="n">
        <v>46336</v>
      </c>
      <c r="B251" s="6" t="inlineStr">
        <is>
          <t>Terça</t>
        </is>
      </c>
      <c r="C251" s="6" t="n">
        <v>249</v>
      </c>
      <c r="D251" s="14" t="inlineStr">
        <is>
          <t>DIREITO CONSTITUCIONAL</t>
        </is>
      </c>
      <c r="E251" s="15" t="inlineStr">
        <is>
          <t>REVISÃO 15 DIAS</t>
        </is>
      </c>
      <c r="F251" s="14" t="inlineStr">
        <is>
          <t>Direitos e Garantias Fundamentais</t>
        </is>
      </c>
      <c r="G251" s="15" t="inlineStr"/>
      <c r="H251" s="15" t="n"/>
      <c r="I251" s="15" t="n"/>
      <c r="J251" s="35" t="inlineStr">
        <is>
          <t>A FAZER</t>
        </is>
      </c>
    </row>
    <row r="252">
      <c r="A252" s="53" t="n">
        <v>46336</v>
      </c>
      <c r="B252" s="6" t="inlineStr">
        <is>
          <t>Terça</t>
        </is>
      </c>
      <c r="C252" s="6" t="n">
        <v>250</v>
      </c>
      <c r="D252" s="12" t="inlineStr">
        <is>
          <t>SEGURANÇA DA INFORMAÇÃO</t>
        </is>
      </c>
      <c r="E252" s="13" t="inlineStr">
        <is>
          <t>REVISÃO 7 DIAS</t>
        </is>
      </c>
      <c r="F252" s="12" t="inlineStr">
        <is>
          <t>Desenvolvimento seguro: SAST / DAST / IAST</t>
        </is>
      </c>
      <c r="G252" s="13" t="inlineStr"/>
      <c r="H252" s="13" t="n"/>
      <c r="I252" s="13" t="n"/>
      <c r="J252" s="35" t="inlineStr">
        <is>
          <t>A FAZER</t>
        </is>
      </c>
    </row>
    <row r="253">
      <c r="A253" s="53" t="n">
        <v>46336</v>
      </c>
      <c r="B253" s="6" t="inlineStr">
        <is>
          <t>Terça</t>
        </is>
      </c>
      <c r="C253" s="6" t="n">
        <v>251</v>
      </c>
      <c r="D253" s="8" t="inlineStr">
        <is>
          <t>DIREITO ADMINISTRATIVO</t>
        </is>
      </c>
      <c r="E253" s="9" t="inlineStr">
        <is>
          <t>REVISÃO 24H</t>
        </is>
      </c>
      <c r="F253" s="8" t="inlineStr">
        <is>
          <t>Serviços Públicos; Agentes Públicos e Concurso Público</t>
        </is>
      </c>
      <c r="G253" s="9" t="inlineStr"/>
      <c r="H253" s="9" t="n"/>
      <c r="I253" s="9" t="n"/>
      <c r="J253" s="35" t="inlineStr">
        <is>
          <t>A FAZER</t>
        </is>
      </c>
    </row>
    <row r="254">
      <c r="A254" s="52" t="n">
        <v>46337</v>
      </c>
      <c r="B254" s="4" t="inlineStr">
        <is>
          <t>Quarta</t>
        </is>
      </c>
      <c r="C254" s="4" t="n">
        <v>252</v>
      </c>
      <c r="D254" s="5" t="inlineStr">
        <is>
          <t>ENGENHARIA DE SOFTWARE</t>
        </is>
      </c>
      <c r="E254" s="6" t="inlineStr">
        <is>
          <t>ESTUDO</t>
        </is>
      </c>
      <c r="F254" s="5" t="inlineStr">
        <is>
          <t>Processos interativo/incremental; práticas ágeis; TDD</t>
        </is>
      </c>
      <c r="G254" s="6" t="n">
        <v>120</v>
      </c>
      <c r="H254" s="6" t="n"/>
      <c r="I254" s="6" t="n"/>
      <c r="J254" s="35" t="inlineStr">
        <is>
          <t>A FAZER</t>
        </is>
      </c>
    </row>
    <row r="255">
      <c r="A255" s="52" t="n">
        <v>46337</v>
      </c>
      <c r="B255" s="4" t="inlineStr">
        <is>
          <t>Quarta</t>
        </is>
      </c>
      <c r="C255" s="4" t="n">
        <v>253</v>
      </c>
      <c r="D255" s="14" t="inlineStr">
        <is>
          <t>DIREITO ADMINISTRATIVO</t>
        </is>
      </c>
      <c r="E255" s="15" t="inlineStr">
        <is>
          <t>REVISÃO 15 DIAS</t>
        </is>
      </c>
      <c r="F255" s="14" t="inlineStr">
        <is>
          <t>Lei 8.666/93, Lei 14.133/2021 e Pregão (Lei 10.520/2002)</t>
        </is>
      </c>
      <c r="G255" s="15" t="inlineStr"/>
      <c r="H255" s="15" t="n"/>
      <c r="I255" s="15" t="n"/>
      <c r="J255" s="35" t="inlineStr">
        <is>
          <t>A FAZER</t>
        </is>
      </c>
    </row>
    <row r="256">
      <c r="A256" s="52" t="n">
        <v>46337</v>
      </c>
      <c r="B256" s="4" t="inlineStr">
        <is>
          <t>Quarta</t>
        </is>
      </c>
      <c r="C256" s="4" t="n">
        <v>254</v>
      </c>
      <c r="D256" s="12" t="inlineStr">
        <is>
          <t>ENGENHARIA DE SOFTWARE</t>
        </is>
      </c>
      <c r="E256" s="13" t="inlineStr">
        <is>
          <t>REVISÃO 7 DIAS</t>
        </is>
      </c>
      <c r="F256" s="12" t="inlineStr">
        <is>
          <t>Ciclo de vida e metodologias de desenvolvimento (cascata, ágil)</t>
        </is>
      </c>
      <c r="G256" s="13" t="inlineStr"/>
      <c r="H256" s="13" t="n"/>
      <c r="I256" s="13" t="n"/>
      <c r="J256" s="35" t="inlineStr">
        <is>
          <t>A FAZER</t>
        </is>
      </c>
    </row>
    <row r="257">
      <c r="A257" s="52" t="n">
        <v>46337</v>
      </c>
      <c r="B257" s="4" t="inlineStr">
        <is>
          <t>Quarta</t>
        </is>
      </c>
      <c r="C257" s="4" t="n">
        <v>255</v>
      </c>
      <c r="D257" s="8" t="inlineStr">
        <is>
          <t>LEGISLAÇÃO INSTITUCIONAL MP</t>
        </is>
      </c>
      <c r="E257" s="9" t="inlineStr">
        <is>
          <t>REVISÃO 24H</t>
        </is>
      </c>
      <c r="F257" s="8" t="inlineStr">
        <is>
          <t>Política Antifraude e Código de Ética do MPMS</t>
        </is>
      </c>
      <c r="G257" s="9" t="inlineStr"/>
      <c r="H257" s="9" t="n"/>
      <c r="I257" s="9" t="n"/>
      <c r="J257" s="35" t="inlineStr">
        <is>
          <t>A FAZER</t>
        </is>
      </c>
    </row>
    <row r="258">
      <c r="A258" s="53" t="n">
        <v>46338</v>
      </c>
      <c r="B258" s="6" t="inlineStr">
        <is>
          <t>Quinta</t>
        </is>
      </c>
      <c r="C258" s="6" t="n">
        <v>256</v>
      </c>
      <c r="D258" s="5" t="inlineStr">
        <is>
          <t>ARQUITETURA DE SOFTWARE</t>
        </is>
      </c>
      <c r="E258" s="6" t="inlineStr">
        <is>
          <t>ESTUDO</t>
        </is>
      </c>
      <c r="F258" s="5" t="inlineStr">
        <is>
          <t>Arquitetura Orientada a Serviços (SOA) e interoperabilidade</t>
        </is>
      </c>
      <c r="G258" s="6" t="n">
        <v>120</v>
      </c>
      <c r="H258" s="6" t="n"/>
      <c r="I258" s="6" t="n"/>
      <c r="J258" s="35" t="inlineStr">
        <is>
          <t>A FAZER</t>
        </is>
      </c>
    </row>
    <row r="259">
      <c r="A259" s="53" t="n">
        <v>46338</v>
      </c>
      <c r="B259" s="6" t="inlineStr">
        <is>
          <t>Quinta</t>
        </is>
      </c>
      <c r="C259" s="6" t="n">
        <v>257</v>
      </c>
      <c r="D259" s="16" t="inlineStr">
        <is>
          <t>LÍNGUA PORTUGUESA</t>
        </is>
      </c>
      <c r="E259" s="17" t="inlineStr">
        <is>
          <t>REVISÃO 30 DIAS</t>
        </is>
      </c>
      <c r="F259" s="16" t="inlineStr">
        <is>
          <t>Morfologia (classes de palavras) e funções do 'que'/'se'</t>
        </is>
      </c>
      <c r="G259" s="17" t="inlineStr"/>
      <c r="H259" s="17" t="n"/>
      <c r="I259" s="17" t="n"/>
      <c r="J259" s="35" t="inlineStr">
        <is>
          <t>A FAZER</t>
        </is>
      </c>
    </row>
    <row r="260">
      <c r="A260" s="53" t="n">
        <v>46338</v>
      </c>
      <c r="B260" s="6" t="inlineStr">
        <is>
          <t>Quinta</t>
        </is>
      </c>
      <c r="C260" s="6" t="n">
        <v>258</v>
      </c>
      <c r="D260" s="14" t="inlineStr">
        <is>
          <t>LEGISLAÇÃO INSTITUCIONAL MP</t>
        </is>
      </c>
      <c r="E260" s="15" t="inlineStr">
        <is>
          <t>REVISÃO 15 DIAS</t>
        </is>
      </c>
      <c r="F260" s="14" t="inlineStr">
        <is>
          <t>Plano de Cargos/Carreiras MPMS (Lei 4.134/2011) + LGPD (Lei 13.709/2018)</t>
        </is>
      </c>
      <c r="G260" s="15" t="inlineStr"/>
      <c r="H260" s="15" t="n"/>
      <c r="I260" s="15" t="n"/>
      <c r="J260" s="35" t="inlineStr">
        <is>
          <t>A FAZER</t>
        </is>
      </c>
    </row>
    <row r="261">
      <c r="A261" s="53" t="n">
        <v>46338</v>
      </c>
      <c r="B261" s="6" t="inlineStr">
        <is>
          <t>Quinta</t>
        </is>
      </c>
      <c r="C261" s="6" t="n">
        <v>259</v>
      </c>
      <c r="D261" s="12" t="inlineStr">
        <is>
          <t>ARQUITETURA DE SOFTWARE</t>
        </is>
      </c>
      <c r="E261" s="13" t="inlineStr">
        <is>
          <t>REVISÃO 7 DIAS</t>
        </is>
      </c>
      <c r="F261" s="12" t="inlineStr">
        <is>
          <t>Padrão MVC; Microsserviços; Arquitetura orientada a eventos</t>
        </is>
      </c>
      <c r="G261" s="13" t="inlineStr"/>
      <c r="H261" s="13" t="n"/>
      <c r="I261" s="13" t="n"/>
      <c r="J261" s="35" t="inlineStr">
        <is>
          <t>A FAZER</t>
        </is>
      </c>
    </row>
    <row r="262">
      <c r="A262" s="53" t="n">
        <v>46338</v>
      </c>
      <c r="B262" s="6" t="inlineStr">
        <is>
          <t>Quinta</t>
        </is>
      </c>
      <c r="C262" s="6" t="n">
        <v>260</v>
      </c>
      <c r="D262" s="8" t="inlineStr">
        <is>
          <t>ENGENHARIA DE SOFTWARE</t>
        </is>
      </c>
      <c r="E262" s="9" t="inlineStr">
        <is>
          <t>REVISÃO 24H</t>
        </is>
      </c>
      <c r="F262" s="8" t="inlineStr">
        <is>
          <t>Processos interativo/incremental; práticas ágeis; TDD</t>
        </is>
      </c>
      <c r="G262" s="9" t="inlineStr"/>
      <c r="H262" s="9" t="n"/>
      <c r="I262" s="9" t="n"/>
      <c r="J262" s="35" t="inlineStr">
        <is>
          <t>A FAZER</t>
        </is>
      </c>
    </row>
    <row r="263">
      <c r="A263" s="52" t="n">
        <v>46339</v>
      </c>
      <c r="B263" s="4" t="inlineStr">
        <is>
          <t>Sexta</t>
        </is>
      </c>
      <c r="C263" s="4" t="n">
        <v>261</v>
      </c>
      <c r="D263" s="5" t="inlineStr">
        <is>
          <t>LINGUAGENS DE PROGRAMAÇÃO</t>
        </is>
      </c>
      <c r="E263" s="6" t="inlineStr">
        <is>
          <t>ESTUDO</t>
        </is>
      </c>
      <c r="F263" s="5" t="inlineStr">
        <is>
          <t>Orientação a Objetos: pilares e características estruturais</t>
        </is>
      </c>
      <c r="G263" s="6" t="n">
        <v>120</v>
      </c>
      <c r="H263" s="6" t="n"/>
      <c r="I263" s="6" t="n"/>
      <c r="J263" s="35" t="inlineStr">
        <is>
          <t>A FAZER</t>
        </is>
      </c>
    </row>
    <row r="264">
      <c r="A264" s="52" t="n">
        <v>46339</v>
      </c>
      <c r="B264" s="4" t="inlineStr">
        <is>
          <t>Sexta</t>
        </is>
      </c>
      <c r="C264" s="4" t="n">
        <v>262</v>
      </c>
      <c r="D264" s="16" t="inlineStr">
        <is>
          <t>DIREITO CONSTITUCIONAL</t>
        </is>
      </c>
      <c r="E264" s="17" t="inlineStr">
        <is>
          <t>REVISÃO 30 DIAS</t>
        </is>
      </c>
      <c r="F264" s="16" t="inlineStr">
        <is>
          <t>Poder Constituinte e Princípios Fundamentais</t>
        </is>
      </c>
      <c r="G264" s="17" t="inlineStr"/>
      <c r="H264" s="17" t="n"/>
      <c r="I264" s="17" t="n"/>
      <c r="J264" s="35" t="inlineStr">
        <is>
          <t>A FAZER</t>
        </is>
      </c>
    </row>
    <row r="265">
      <c r="A265" s="52" t="n">
        <v>46339</v>
      </c>
      <c r="B265" s="4" t="inlineStr">
        <is>
          <t>Sexta</t>
        </is>
      </c>
      <c r="C265" s="4" t="n">
        <v>263</v>
      </c>
      <c r="D265" s="14" t="inlineStr">
        <is>
          <t>ENGENHARIA DE SOFTWARE</t>
        </is>
      </c>
      <c r="E265" s="15" t="inlineStr">
        <is>
          <t>REVISÃO 15 DIAS</t>
        </is>
      </c>
      <c r="F265" s="14" t="inlineStr">
        <is>
          <t>DevOps e CI/CD (conceitos e ferramentas)</t>
        </is>
      </c>
      <c r="G265" s="15" t="inlineStr"/>
      <c r="H265" s="15" t="n"/>
      <c r="I265" s="15" t="n"/>
      <c r="J265" s="35" t="inlineStr">
        <is>
          <t>A FAZER</t>
        </is>
      </c>
    </row>
    <row r="266">
      <c r="A266" s="52" t="n">
        <v>46339</v>
      </c>
      <c r="B266" s="4" t="inlineStr">
        <is>
          <t>Sexta</t>
        </is>
      </c>
      <c r="C266" s="4" t="n">
        <v>264</v>
      </c>
      <c r="D266" s="12" t="inlineStr">
        <is>
          <t>LINGUAGENS DE PROGRAMAÇÃO</t>
        </is>
      </c>
      <c r="E266" s="13" t="inlineStr">
        <is>
          <t>REVISÃO 7 DIAS</t>
        </is>
      </c>
      <c r="F266" s="12" t="inlineStr">
        <is>
          <t>Java Core 8+ (sintaxe, streams, coleções)</t>
        </is>
      </c>
      <c r="G266" s="13" t="inlineStr"/>
      <c r="H266" s="13" t="n"/>
      <c r="I266" s="13" t="n"/>
      <c r="J266" s="35" t="inlineStr">
        <is>
          <t>A FAZER</t>
        </is>
      </c>
    </row>
    <row r="267">
      <c r="A267" s="52" t="n">
        <v>46339</v>
      </c>
      <c r="B267" s="4" t="inlineStr">
        <is>
          <t>Sexta</t>
        </is>
      </c>
      <c r="C267" s="4" t="n">
        <v>265</v>
      </c>
      <c r="D267" s="8" t="inlineStr">
        <is>
          <t>ARQUITETURA DE SOFTWARE</t>
        </is>
      </c>
      <c r="E267" s="9" t="inlineStr">
        <is>
          <t>REVISÃO 24H</t>
        </is>
      </c>
      <c r="F267" s="8" t="inlineStr">
        <is>
          <t>Arquitetura Orientada a Serviços (SOA) e interoperabilidade</t>
        </is>
      </c>
      <c r="G267" s="9" t="inlineStr"/>
      <c r="H267" s="9" t="n"/>
      <c r="I267" s="9" t="n"/>
      <c r="J267" s="35" t="inlineStr">
        <is>
          <t>A FAZER</t>
        </is>
      </c>
    </row>
    <row r="268">
      <c r="A268" s="53" t="n">
        <v>46340</v>
      </c>
      <c r="B268" s="6" t="inlineStr">
        <is>
          <t>Sábado</t>
        </is>
      </c>
      <c r="C268" s="6" t="n">
        <v>266</v>
      </c>
      <c r="D268" s="5" t="inlineStr">
        <is>
          <t>QUALIDADE DE SOFTWARE</t>
        </is>
      </c>
      <c r="E268" s="6" t="inlineStr">
        <is>
          <t>ESTUDO</t>
        </is>
      </c>
      <c r="F268" s="5" t="inlineStr">
        <is>
          <t>Gerência de configuração de software (Git)</t>
        </is>
      </c>
      <c r="G268" s="6" t="n">
        <v>120</v>
      </c>
      <c r="H268" s="6" t="n"/>
      <c r="I268" s="6" t="n"/>
      <c r="J268" s="35" t="inlineStr">
        <is>
          <t>A FAZER</t>
        </is>
      </c>
    </row>
    <row r="269">
      <c r="A269" s="53" t="n">
        <v>46340</v>
      </c>
      <c r="B269" s="6" t="inlineStr">
        <is>
          <t>Sábado</t>
        </is>
      </c>
      <c r="C269" s="6" t="n">
        <v>267</v>
      </c>
      <c r="D269" s="5" t="inlineStr">
        <is>
          <t>ESTRUTURA DE DADOS E ALGORITMOS</t>
        </is>
      </c>
      <c r="E269" s="6" t="inlineStr">
        <is>
          <t>ESTUDO</t>
        </is>
      </c>
      <c r="F269" s="5" t="inlineStr">
        <is>
          <t>Listas lineares, encadeadas, vetores e matrizes</t>
        </is>
      </c>
      <c r="G269" s="6" t="n">
        <v>120</v>
      </c>
      <c r="H269" s="6" t="n"/>
      <c r="I269" s="6" t="n"/>
      <c r="J269" s="35" t="inlineStr">
        <is>
          <t>A FAZER</t>
        </is>
      </c>
    </row>
    <row r="270">
      <c r="A270" s="53" t="n">
        <v>46340</v>
      </c>
      <c r="B270" s="6" t="inlineStr">
        <is>
          <t>Sábado</t>
        </is>
      </c>
      <c r="C270" s="6" t="n">
        <v>268</v>
      </c>
      <c r="D270" s="16" t="inlineStr">
        <is>
          <t>DIREITO ADMINISTRATIVO</t>
        </is>
      </c>
      <c r="E270" s="17" t="inlineStr">
        <is>
          <t>REVISÃO 30 DIAS</t>
        </is>
      </c>
      <c r="F270" s="16" t="inlineStr">
        <is>
          <t>Responsabilidade Civil do Estado; Controle da Administração</t>
        </is>
      </c>
      <c r="G270" s="17" t="inlineStr"/>
      <c r="H270" s="17" t="n"/>
      <c r="I270" s="17" t="n"/>
      <c r="J270" s="35" t="inlineStr">
        <is>
          <t>A FAZER</t>
        </is>
      </c>
    </row>
    <row r="271">
      <c r="A271" s="53" t="n">
        <v>46340</v>
      </c>
      <c r="B271" s="6" t="inlineStr">
        <is>
          <t>Sábado</t>
        </is>
      </c>
      <c r="C271" s="6" t="n">
        <v>269</v>
      </c>
      <c r="D271" s="14" t="inlineStr">
        <is>
          <t>ARQUITETURA DE SOFTWARE</t>
        </is>
      </c>
      <c r="E271" s="15" t="inlineStr">
        <is>
          <t>REVISÃO 15 DIAS</t>
        </is>
      </c>
      <c r="F271" s="14" t="inlineStr">
        <is>
          <t>Refatoração, modernização e componentização de software</t>
        </is>
      </c>
      <c r="G271" s="15" t="inlineStr"/>
      <c r="H271" s="15" t="n"/>
      <c r="I271" s="15" t="n"/>
      <c r="J271" s="35" t="inlineStr">
        <is>
          <t>A FAZER</t>
        </is>
      </c>
    </row>
    <row r="272">
      <c r="A272" s="53" t="n">
        <v>46340</v>
      </c>
      <c r="B272" s="6" t="inlineStr">
        <is>
          <t>Sábado</t>
        </is>
      </c>
      <c r="C272" s="6" t="n">
        <v>270</v>
      </c>
      <c r="D272" s="12" t="inlineStr">
        <is>
          <t>ESTRUTURA DE DADOS E ALGORITMOS</t>
        </is>
      </c>
      <c r="E272" s="13" t="inlineStr">
        <is>
          <t>REVISÃO 7 DIAS</t>
        </is>
      </c>
      <c r="F272" s="12" t="inlineStr">
        <is>
          <t>Algoritmos de pesquisa e ordenação</t>
        </is>
      </c>
      <c r="G272" s="13" t="inlineStr"/>
      <c r="H272" s="13" t="n"/>
      <c r="I272" s="13" t="n"/>
      <c r="J272" s="35" t="inlineStr">
        <is>
          <t>A FAZER</t>
        </is>
      </c>
    </row>
    <row r="273">
      <c r="A273" s="53" t="n">
        <v>46340</v>
      </c>
      <c r="B273" s="6" t="inlineStr">
        <is>
          <t>Sábado</t>
        </is>
      </c>
      <c r="C273" s="6" t="n">
        <v>271</v>
      </c>
      <c r="D273" s="12" t="inlineStr">
        <is>
          <t>ARQUITETURA / BANCO DE DADOS</t>
        </is>
      </c>
      <c r="E273" s="13" t="inlineStr">
        <is>
          <t>REVISÃO 7 DIAS</t>
        </is>
      </c>
      <c r="F273" s="12" t="inlineStr">
        <is>
          <t>ETL e integração de dados; BI e mapeamento de fontes</t>
        </is>
      </c>
      <c r="G273" s="13" t="inlineStr"/>
      <c r="H273" s="13" t="n"/>
      <c r="I273" s="13" t="n"/>
      <c r="J273" s="35" t="inlineStr">
        <is>
          <t>A FAZER</t>
        </is>
      </c>
    </row>
    <row r="274">
      <c r="A274" s="53" t="n">
        <v>46340</v>
      </c>
      <c r="B274" s="6" t="inlineStr">
        <is>
          <t>Sábado</t>
        </is>
      </c>
      <c r="C274" s="6" t="n">
        <v>272</v>
      </c>
      <c r="D274" s="8" t="inlineStr">
        <is>
          <t>LINGUAGENS DE PROGRAMAÇÃO</t>
        </is>
      </c>
      <c r="E274" s="9" t="inlineStr">
        <is>
          <t>REVISÃO 24H</t>
        </is>
      </c>
      <c r="F274" s="8" t="inlineStr">
        <is>
          <t>Orientação a Objetos: pilares e características estruturais</t>
        </is>
      </c>
      <c r="G274" s="9" t="inlineStr"/>
      <c r="H274" s="9" t="n"/>
      <c r="I274" s="9" t="n"/>
      <c r="J274" s="35" t="inlineStr">
        <is>
          <t>A FAZER</t>
        </is>
      </c>
    </row>
    <row r="275">
      <c r="A275" s="52" t="n">
        <v>46341</v>
      </c>
      <c r="B275" s="4" t="inlineStr">
        <is>
          <t>Domingo</t>
        </is>
      </c>
      <c r="C275" s="4" t="n">
        <v>273</v>
      </c>
      <c r="D275" s="16" t="inlineStr">
        <is>
          <t>LEGISLAÇÃO INSTITUCIONAL MP</t>
        </is>
      </c>
      <c r="E275" s="17" t="inlineStr">
        <is>
          <t>REVISÃO 30 DIAS</t>
        </is>
      </c>
      <c r="F275" s="16" t="inlineStr">
        <is>
          <t>Estatuto dos Funcionários Públicos do MS (Lei 1.102/1990)</t>
        </is>
      </c>
      <c r="G275" s="17" t="inlineStr"/>
      <c r="H275" s="17" t="n"/>
      <c r="I275" s="17" t="n"/>
      <c r="J275" s="35" t="inlineStr">
        <is>
          <t>A FAZER</t>
        </is>
      </c>
    </row>
    <row r="276">
      <c r="A276" s="52" t="n">
        <v>46341</v>
      </c>
      <c r="B276" s="4" t="inlineStr">
        <is>
          <t>Domingo</t>
        </is>
      </c>
      <c r="C276" s="4" t="n">
        <v>274</v>
      </c>
      <c r="D276" s="14" t="inlineStr">
        <is>
          <t>LINGUAGENS DE PROGRAMAÇÃO</t>
        </is>
      </c>
      <c r="E276" s="15" t="inlineStr">
        <is>
          <t>REVISÃO 15 DIAS</t>
        </is>
      </c>
      <c r="F276" s="14" t="inlineStr">
        <is>
          <t>Python 3.7+ (sintaxe, estruturas, boas práticas)</t>
        </is>
      </c>
      <c r="G276" s="15" t="inlineStr"/>
      <c r="H276" s="15" t="n"/>
      <c r="I276" s="15" t="n"/>
      <c r="J276" s="35" t="inlineStr">
        <is>
          <t>A FAZER</t>
        </is>
      </c>
    </row>
    <row r="277">
      <c r="A277" s="52" t="n">
        <v>46341</v>
      </c>
      <c r="B277" s="4" t="inlineStr">
        <is>
          <t>Domingo</t>
        </is>
      </c>
      <c r="C277" s="4" t="n">
        <v>275</v>
      </c>
      <c r="D277" s="14" t="inlineStr">
        <is>
          <t>QUALIDADE DE SOFTWARE</t>
        </is>
      </c>
      <c r="E277" s="15" t="inlineStr">
        <is>
          <t>REVISÃO 15 DIAS</t>
        </is>
      </c>
      <c r="F277" s="14" t="inlineStr">
        <is>
          <t>Testes de desempenho, carga e vulnerabilidade</t>
        </is>
      </c>
      <c r="G277" s="15" t="inlineStr"/>
      <c r="H277" s="15" t="n"/>
      <c r="I277" s="15" t="n"/>
      <c r="J277" s="35" t="inlineStr">
        <is>
          <t>A FAZER</t>
        </is>
      </c>
    </row>
    <row r="278">
      <c r="A278" s="52" t="n">
        <v>46341</v>
      </c>
      <c r="B278" s="4" t="inlineStr">
        <is>
          <t>Domingo</t>
        </is>
      </c>
      <c r="C278" s="4" t="n">
        <v>276</v>
      </c>
      <c r="D278" s="12" t="inlineStr">
        <is>
          <t>LÍNGUA PORTUGUESA</t>
        </is>
      </c>
      <c r="E278" s="13" t="inlineStr">
        <is>
          <t>REVISÃO 7 DIAS</t>
        </is>
      </c>
      <c r="F278" s="12" t="inlineStr">
        <is>
          <t>Coesão e coerência textual; reescrita de frases</t>
        </is>
      </c>
      <c r="G278" s="13" t="inlineStr"/>
      <c r="H278" s="13" t="n"/>
      <c r="I278" s="13" t="n"/>
      <c r="J278" s="35" t="inlineStr">
        <is>
          <t>A FAZER</t>
        </is>
      </c>
    </row>
    <row r="279">
      <c r="A279" s="52" t="n">
        <v>46341</v>
      </c>
      <c r="B279" s="4" t="inlineStr">
        <is>
          <t>Domingo</t>
        </is>
      </c>
      <c r="C279" s="4" t="n">
        <v>277</v>
      </c>
      <c r="D279" s="8" t="inlineStr">
        <is>
          <t>QUALIDADE DE SOFTWARE</t>
        </is>
      </c>
      <c r="E279" s="9" t="inlineStr">
        <is>
          <t>REVISÃO 24H</t>
        </is>
      </c>
      <c r="F279" s="8" t="inlineStr">
        <is>
          <t>Gerência de configuração de software (Git)</t>
        </is>
      </c>
      <c r="G279" s="9" t="inlineStr"/>
      <c r="H279" s="9" t="n"/>
      <c r="I279" s="9" t="n"/>
      <c r="J279" s="35" t="inlineStr">
        <is>
          <t>A FAZER</t>
        </is>
      </c>
    </row>
    <row r="280">
      <c r="A280" s="52" t="n">
        <v>46341</v>
      </c>
      <c r="B280" s="4" t="inlineStr">
        <is>
          <t>Domingo</t>
        </is>
      </c>
      <c r="C280" s="4" t="n">
        <v>278</v>
      </c>
      <c r="D280" s="8" t="inlineStr">
        <is>
          <t>ESTRUTURA DE DADOS E ALGORITMOS</t>
        </is>
      </c>
      <c r="E280" s="9" t="inlineStr">
        <is>
          <t>REVISÃO 24H</t>
        </is>
      </c>
      <c r="F280" s="8" t="inlineStr">
        <is>
          <t>Listas lineares, encadeadas, vetores e matrizes</t>
        </is>
      </c>
      <c r="G280" s="9" t="inlineStr"/>
      <c r="H280" s="9" t="n"/>
      <c r="I280" s="9" t="n"/>
      <c r="J280" s="35" t="inlineStr">
        <is>
          <t>A FAZER</t>
        </is>
      </c>
    </row>
    <row r="281">
      <c r="A281" s="53" t="n">
        <v>46342</v>
      </c>
      <c r="B281" s="6" t="inlineStr">
        <is>
          <t>Segunda</t>
        </is>
      </c>
      <c r="C281" s="6" t="n">
        <v>279</v>
      </c>
      <c r="D281" s="5" t="inlineStr">
        <is>
          <t>ARQUITETURA / BANCO DE DADOS</t>
        </is>
      </c>
      <c r="E281" s="6" t="inlineStr">
        <is>
          <t>ESTUDO</t>
        </is>
      </c>
      <c r="F281" s="5" t="inlineStr">
        <is>
          <t>Manipulação de dados em planilhas; bases multidimensionais</t>
        </is>
      </c>
      <c r="G281" s="6" t="n">
        <v>120</v>
      </c>
      <c r="H281" s="6" t="n"/>
      <c r="I281" s="6" t="n"/>
      <c r="J281" s="35" t="inlineStr">
        <is>
          <t>A FAZER</t>
        </is>
      </c>
    </row>
    <row r="282">
      <c r="A282" s="53" t="n">
        <v>46342</v>
      </c>
      <c r="B282" s="6" t="inlineStr">
        <is>
          <t>Segunda</t>
        </is>
      </c>
      <c r="C282" s="6" t="n">
        <v>280</v>
      </c>
      <c r="D282" s="16" t="inlineStr">
        <is>
          <t>ENGENHARIA DE SOFTWARE</t>
        </is>
      </c>
      <c r="E282" s="17" t="inlineStr">
        <is>
          <t>REVISÃO 30 DIAS</t>
        </is>
      </c>
      <c r="F282" s="16" t="inlineStr">
        <is>
          <t>Requisitos: elicitação, histórias de usuário, MVP, prototipação, personas</t>
        </is>
      </c>
      <c r="G282" s="17" t="inlineStr"/>
      <c r="H282" s="17" t="n"/>
      <c r="I282" s="17" t="n"/>
      <c r="J282" s="35" t="inlineStr">
        <is>
          <t>A FAZER</t>
        </is>
      </c>
    </row>
    <row r="283">
      <c r="A283" s="53" t="n">
        <v>46342</v>
      </c>
      <c r="B283" s="6" t="inlineStr">
        <is>
          <t>Segunda</t>
        </is>
      </c>
      <c r="C283" s="6" t="n">
        <v>281</v>
      </c>
      <c r="D283" s="16" t="inlineStr">
        <is>
          <t>ARQUITETURA DE SOFTWARE</t>
        </is>
      </c>
      <c r="E283" s="17" t="inlineStr">
        <is>
          <t>REVISÃO 30 DIAS</t>
        </is>
      </c>
      <c r="F283" s="16" t="inlineStr">
        <is>
          <t>Frameworks de persistência (ORM); serviços de mensageria</t>
        </is>
      </c>
      <c r="G283" s="17" t="inlineStr"/>
      <c r="H283" s="17" t="n"/>
      <c r="I283" s="17" t="n"/>
      <c r="J283" s="35" t="inlineStr">
        <is>
          <t>A FAZER</t>
        </is>
      </c>
    </row>
    <row r="284">
      <c r="A284" s="53" t="n">
        <v>46342</v>
      </c>
      <c r="B284" s="6" t="inlineStr">
        <is>
          <t>Segunda</t>
        </is>
      </c>
      <c r="C284" s="6" t="n">
        <v>282</v>
      </c>
      <c r="D284" s="14" t="inlineStr">
        <is>
          <t>ESTRUTURA DE DADOS E ALGORITMOS</t>
        </is>
      </c>
      <c r="E284" s="15" t="inlineStr">
        <is>
          <t>REVISÃO 15 DIAS</t>
        </is>
      </c>
      <c r="F284" s="14" t="inlineStr">
        <is>
          <t>Sub-rotinas: chamada por endereço, referência e valor</t>
        </is>
      </c>
      <c r="G284" s="15" t="inlineStr"/>
      <c r="H284" s="15" t="n"/>
      <c r="I284" s="15" t="n"/>
      <c r="J284" s="35" t="inlineStr">
        <is>
          <t>A FAZER</t>
        </is>
      </c>
    </row>
    <row r="285">
      <c r="A285" s="53" t="n">
        <v>46342</v>
      </c>
      <c r="B285" s="6" t="inlineStr">
        <is>
          <t>Segunda</t>
        </is>
      </c>
      <c r="C285" s="6" t="n">
        <v>283</v>
      </c>
      <c r="D285" s="12" t="inlineStr">
        <is>
          <t>DIREITO ADMINISTRATIVO</t>
        </is>
      </c>
      <c r="E285" s="13" t="inlineStr">
        <is>
          <t>REVISÃO 7 DIAS</t>
        </is>
      </c>
      <c r="F285" s="12" t="inlineStr">
        <is>
          <t>Serviços Públicos; Agentes Públicos e Concurso Público</t>
        </is>
      </c>
      <c r="G285" s="13" t="inlineStr"/>
      <c r="H285" s="13" t="n"/>
      <c r="I285" s="13" t="n"/>
      <c r="J285" s="35" t="inlineStr">
        <is>
          <t>A FAZER</t>
        </is>
      </c>
    </row>
    <row r="286">
      <c r="A286" s="52" t="n">
        <v>46343</v>
      </c>
      <c r="B286" s="4" t="inlineStr">
        <is>
          <t>Terça</t>
        </is>
      </c>
      <c r="C286" s="4" t="n">
        <v>284</v>
      </c>
      <c r="D286" s="5" t="inlineStr">
        <is>
          <t>SEGURANÇA DA INFORMAÇÃO</t>
        </is>
      </c>
      <c r="E286" s="6" t="inlineStr">
        <is>
          <t>ESTUDO</t>
        </is>
      </c>
      <c r="F286" s="5" t="inlineStr">
        <is>
          <t>SSO (Single Sign-On) e Autenticação Multifator (MFA)</t>
        </is>
      </c>
      <c r="G286" s="6" t="n">
        <v>120</v>
      </c>
      <c r="H286" s="6" t="n"/>
      <c r="I286" s="6" t="n"/>
      <c r="J286" s="35" t="inlineStr">
        <is>
          <t>A FAZER</t>
        </is>
      </c>
    </row>
    <row r="287">
      <c r="A287" s="52" t="n">
        <v>46343</v>
      </c>
      <c r="B287" s="4" t="inlineStr">
        <is>
          <t>Terça</t>
        </is>
      </c>
      <c r="C287" s="4" t="n">
        <v>285</v>
      </c>
      <c r="D287" s="16" t="inlineStr">
        <is>
          <t>LINGUAGENS DE PROGRAMAÇÃO</t>
        </is>
      </c>
      <c r="E287" s="17" t="inlineStr">
        <is>
          <t>REVISÃO 30 DIAS</t>
        </is>
      </c>
      <c r="F287" s="16" t="inlineStr">
        <is>
          <t>Tratamento de exceções e anotações</t>
        </is>
      </c>
      <c r="G287" s="17" t="inlineStr"/>
      <c r="H287" s="17" t="n"/>
      <c r="I287" s="17" t="n"/>
      <c r="J287" s="35" t="inlineStr">
        <is>
          <t>A FAZER</t>
        </is>
      </c>
    </row>
    <row r="288">
      <c r="A288" s="52" t="n">
        <v>46343</v>
      </c>
      <c r="B288" s="4" t="inlineStr">
        <is>
          <t>Terça</t>
        </is>
      </c>
      <c r="C288" s="4" t="n">
        <v>286</v>
      </c>
      <c r="D288" s="12" t="inlineStr">
        <is>
          <t>LEGISLAÇÃO INSTITUCIONAL MP</t>
        </is>
      </c>
      <c r="E288" s="13" t="inlineStr">
        <is>
          <t>REVISÃO 7 DIAS</t>
        </is>
      </c>
      <c r="F288" s="12" t="inlineStr">
        <is>
          <t>Política Antifraude e Código de Ética do MPMS</t>
        </is>
      </c>
      <c r="G288" s="13" t="inlineStr"/>
      <c r="H288" s="13" t="n"/>
      <c r="I288" s="13" t="n"/>
      <c r="J288" s="35" t="inlineStr">
        <is>
          <t>A FAZER</t>
        </is>
      </c>
    </row>
    <row r="289">
      <c r="A289" s="52" t="n">
        <v>46343</v>
      </c>
      <c r="B289" s="4" t="inlineStr">
        <is>
          <t>Terça</t>
        </is>
      </c>
      <c r="C289" s="4" t="n">
        <v>287</v>
      </c>
      <c r="D289" s="8" t="inlineStr">
        <is>
          <t>ARQUITETURA / BANCO DE DADOS</t>
        </is>
      </c>
      <c r="E289" s="9" t="inlineStr">
        <is>
          <t>REVISÃO 24H</t>
        </is>
      </c>
      <c r="F289" s="8" t="inlineStr">
        <is>
          <t>Manipulação de dados em planilhas; bases multidimensionais</t>
        </is>
      </c>
      <c r="G289" s="9" t="inlineStr"/>
      <c r="H289" s="9" t="n"/>
      <c r="I289" s="9" t="n"/>
      <c r="J289" s="35" t="inlineStr">
        <is>
          <t>A FAZER</t>
        </is>
      </c>
    </row>
    <row r="290">
      <c r="A290" s="53" t="n">
        <v>46344</v>
      </c>
      <c r="B290" s="6" t="inlineStr">
        <is>
          <t>Quarta</t>
        </is>
      </c>
      <c r="C290" s="6" t="n">
        <v>288</v>
      </c>
      <c r="D290" s="5" t="inlineStr">
        <is>
          <t>ENGENHARIA DE SOFTWARE</t>
        </is>
      </c>
      <c r="E290" s="6" t="inlineStr">
        <is>
          <t>ESTUDO</t>
        </is>
      </c>
      <c r="F290" s="5" t="inlineStr">
        <is>
          <t>Gerenciamento de ciclo de vida de aplicações; Integração contínua</t>
        </is>
      </c>
      <c r="G290" s="6" t="n">
        <v>120</v>
      </c>
      <c r="H290" s="6" t="n"/>
      <c r="I290" s="6" t="n"/>
      <c r="J290" s="35" t="inlineStr">
        <is>
          <t>A FAZER</t>
        </is>
      </c>
    </row>
    <row r="291">
      <c r="A291" s="53" t="n">
        <v>46344</v>
      </c>
      <c r="B291" s="6" t="inlineStr">
        <is>
          <t>Quarta</t>
        </is>
      </c>
      <c r="C291" s="6" t="n">
        <v>289</v>
      </c>
      <c r="D291" s="16" t="inlineStr">
        <is>
          <t>ESTRUTURA DE DADOS E ALGORITMOS</t>
        </is>
      </c>
      <c r="E291" s="17" t="inlineStr">
        <is>
          <t>REVISÃO 30 DIAS</t>
        </is>
      </c>
      <c r="F291" s="16" t="inlineStr">
        <is>
          <t>Programação recursiva</t>
        </is>
      </c>
      <c r="G291" s="17" t="inlineStr"/>
      <c r="H291" s="17" t="n"/>
      <c r="I291" s="17" t="n"/>
      <c r="J291" s="35" t="inlineStr">
        <is>
          <t>A FAZER</t>
        </is>
      </c>
    </row>
    <row r="292">
      <c r="A292" s="53" t="n">
        <v>46344</v>
      </c>
      <c r="B292" s="6" t="inlineStr">
        <is>
          <t>Quarta</t>
        </is>
      </c>
      <c r="C292" s="6" t="n">
        <v>290</v>
      </c>
      <c r="D292" s="14" t="inlineStr">
        <is>
          <t>SEGURANÇA DA INFORMAÇÃO</t>
        </is>
      </c>
      <c r="E292" s="15" t="inlineStr">
        <is>
          <t>REVISÃO 15 DIAS</t>
        </is>
      </c>
      <c r="F292" s="14" t="inlineStr">
        <is>
          <t>Desenvolvimento seguro: SAST / DAST / IAST</t>
        </is>
      </c>
      <c r="G292" s="15" t="inlineStr"/>
      <c r="H292" s="15" t="n"/>
      <c r="I292" s="15" t="n"/>
      <c r="J292" s="35" t="inlineStr">
        <is>
          <t>A FAZER</t>
        </is>
      </c>
    </row>
    <row r="293">
      <c r="A293" s="53" t="n">
        <v>46344</v>
      </c>
      <c r="B293" s="6" t="inlineStr">
        <is>
          <t>Quarta</t>
        </is>
      </c>
      <c r="C293" s="6" t="n">
        <v>291</v>
      </c>
      <c r="D293" s="12" t="inlineStr">
        <is>
          <t>ENGENHARIA DE SOFTWARE</t>
        </is>
      </c>
      <c r="E293" s="13" t="inlineStr">
        <is>
          <t>REVISÃO 7 DIAS</t>
        </is>
      </c>
      <c r="F293" s="12" t="inlineStr">
        <is>
          <t>Processos interativo/incremental; práticas ágeis; TDD</t>
        </is>
      </c>
      <c r="G293" s="13" t="inlineStr"/>
      <c r="H293" s="13" t="n"/>
      <c r="I293" s="13" t="n"/>
      <c r="J293" s="35" t="inlineStr">
        <is>
          <t>A FAZER</t>
        </is>
      </c>
    </row>
    <row r="294">
      <c r="A294" s="53" t="n">
        <v>46344</v>
      </c>
      <c r="B294" s="6" t="inlineStr">
        <is>
          <t>Quarta</t>
        </is>
      </c>
      <c r="C294" s="6" t="n">
        <v>292</v>
      </c>
      <c r="D294" s="8" t="inlineStr">
        <is>
          <t>SEGURANÇA DA INFORMAÇÃO</t>
        </is>
      </c>
      <c r="E294" s="9" t="inlineStr">
        <is>
          <t>REVISÃO 24H</t>
        </is>
      </c>
      <c r="F294" s="8" t="inlineStr">
        <is>
          <t>SSO (Single Sign-On) e Autenticação Multifator (MFA)</t>
        </is>
      </c>
      <c r="G294" s="9" t="inlineStr"/>
      <c r="H294" s="9" t="n"/>
      <c r="I294" s="9" t="n"/>
      <c r="J294" s="35" t="inlineStr">
        <is>
          <t>A FAZER</t>
        </is>
      </c>
    </row>
    <row r="295">
      <c r="A295" s="52" t="n">
        <v>46345</v>
      </c>
      <c r="B295" s="4" t="inlineStr">
        <is>
          <t>Quinta</t>
        </is>
      </c>
      <c r="C295" s="4" t="n">
        <v>293</v>
      </c>
      <c r="D295" s="5" t="inlineStr">
        <is>
          <t>ARQUITETURA DE SOFTWARE</t>
        </is>
      </c>
      <c r="E295" s="6" t="inlineStr">
        <is>
          <t>ESTUDO</t>
        </is>
      </c>
      <c r="F295" s="5" t="inlineStr">
        <is>
          <t>Padrões de projeto (design patterns) e anti-patterns</t>
        </is>
      </c>
      <c r="G295" s="6" t="n">
        <v>120</v>
      </c>
      <c r="H295" s="6" t="n"/>
      <c r="I295" s="6" t="n"/>
      <c r="J295" s="35" t="inlineStr">
        <is>
          <t>A FAZER</t>
        </is>
      </c>
    </row>
    <row r="296">
      <c r="A296" s="52" t="n">
        <v>46345</v>
      </c>
      <c r="B296" s="4" t="inlineStr">
        <is>
          <t>Quinta</t>
        </is>
      </c>
      <c r="C296" s="4" t="n">
        <v>294</v>
      </c>
      <c r="D296" s="16" t="inlineStr">
        <is>
          <t>ARQUITETURA / BANCO DE DADOS</t>
        </is>
      </c>
      <c r="E296" s="17" t="inlineStr">
        <is>
          <t>REVISÃO 30 DIAS</t>
        </is>
      </c>
      <c r="F296" s="16" t="inlineStr">
        <is>
          <t>SQL: DDL, DML, DCL, DTL</t>
        </is>
      </c>
      <c r="G296" s="17" t="inlineStr"/>
      <c r="H296" s="17" t="n"/>
      <c r="I296" s="17" t="n"/>
      <c r="J296" s="35" t="inlineStr">
        <is>
          <t>A FAZER</t>
        </is>
      </c>
    </row>
    <row r="297">
      <c r="A297" s="52" t="n">
        <v>46345</v>
      </c>
      <c r="B297" s="4" t="inlineStr">
        <is>
          <t>Quinta</t>
        </is>
      </c>
      <c r="C297" s="4" t="n">
        <v>295</v>
      </c>
      <c r="D297" s="14" t="inlineStr">
        <is>
          <t>ENGENHARIA DE SOFTWARE</t>
        </is>
      </c>
      <c r="E297" s="15" t="inlineStr">
        <is>
          <t>REVISÃO 15 DIAS</t>
        </is>
      </c>
      <c r="F297" s="14" t="inlineStr">
        <is>
          <t>Ciclo de vida e metodologias de desenvolvimento (cascata, ágil)</t>
        </is>
      </c>
      <c r="G297" s="15" t="inlineStr"/>
      <c r="H297" s="15" t="n"/>
      <c r="I297" s="15" t="n"/>
      <c r="J297" s="35" t="inlineStr">
        <is>
          <t>A FAZER</t>
        </is>
      </c>
    </row>
    <row r="298">
      <c r="A298" s="52" t="n">
        <v>46345</v>
      </c>
      <c r="B298" s="4" t="inlineStr">
        <is>
          <t>Quinta</t>
        </is>
      </c>
      <c r="C298" s="4" t="n">
        <v>296</v>
      </c>
      <c r="D298" s="12" t="inlineStr">
        <is>
          <t>ARQUITETURA DE SOFTWARE</t>
        </is>
      </c>
      <c r="E298" s="13" t="inlineStr">
        <is>
          <t>REVISÃO 7 DIAS</t>
        </is>
      </c>
      <c r="F298" s="12" t="inlineStr">
        <is>
          <t>Arquitetura Orientada a Serviços (SOA) e interoperabilidade</t>
        </is>
      </c>
      <c r="G298" s="13" t="inlineStr"/>
      <c r="H298" s="13" t="n"/>
      <c r="I298" s="13" t="n"/>
      <c r="J298" s="35" t="inlineStr">
        <is>
          <t>A FAZER</t>
        </is>
      </c>
    </row>
    <row r="299">
      <c r="A299" s="52" t="n">
        <v>46345</v>
      </c>
      <c r="B299" s="4" t="inlineStr">
        <is>
          <t>Quinta</t>
        </is>
      </c>
      <c r="C299" s="4" t="n">
        <v>297</v>
      </c>
      <c r="D299" s="8" t="inlineStr">
        <is>
          <t>ENGENHARIA DE SOFTWARE</t>
        </is>
      </c>
      <c r="E299" s="9" t="inlineStr">
        <is>
          <t>REVISÃO 24H</t>
        </is>
      </c>
      <c r="F299" s="8" t="inlineStr">
        <is>
          <t>Gerenciamento de ciclo de vida de aplicações; Integração contínua</t>
        </is>
      </c>
      <c r="G299" s="9" t="inlineStr"/>
      <c r="H299" s="9" t="n"/>
      <c r="I299" s="9" t="n"/>
      <c r="J299" s="35" t="inlineStr">
        <is>
          <t>A FAZER</t>
        </is>
      </c>
    </row>
    <row r="300">
      <c r="A300" s="53" t="n">
        <v>46346</v>
      </c>
      <c r="B300" s="6" t="inlineStr">
        <is>
          <t>Sexta</t>
        </is>
      </c>
      <c r="C300" s="6" t="n">
        <v>298</v>
      </c>
      <c r="D300" s="16" t="inlineStr">
        <is>
          <t>SEGURANÇA DA INFORMAÇÃO</t>
        </is>
      </c>
      <c r="E300" s="17" t="inlineStr">
        <is>
          <t>REVISÃO 30 DIAS</t>
        </is>
      </c>
      <c r="F300" s="16" t="inlineStr">
        <is>
          <t>Gestão de identidade e acesso (autenticação, autorização, auditoria)</t>
        </is>
      </c>
      <c r="G300" s="17" t="inlineStr"/>
      <c r="H300" s="17" t="n"/>
      <c r="I300" s="17" t="n"/>
      <c r="J300" s="35" t="inlineStr">
        <is>
          <t>A FAZER</t>
        </is>
      </c>
    </row>
    <row r="301">
      <c r="A301" s="53" t="n">
        <v>46346</v>
      </c>
      <c r="B301" s="6" t="inlineStr">
        <is>
          <t>Sexta</t>
        </is>
      </c>
      <c r="C301" s="6" t="n">
        <v>299</v>
      </c>
      <c r="D301" s="14" t="inlineStr">
        <is>
          <t>ARQUITETURA DE SOFTWARE</t>
        </is>
      </c>
      <c r="E301" s="15" t="inlineStr">
        <is>
          <t>REVISÃO 15 DIAS</t>
        </is>
      </c>
      <c r="F301" s="14" t="inlineStr">
        <is>
          <t>Padrão MVC; Microsserviços; Arquitetura orientada a eventos</t>
        </is>
      </c>
      <c r="G301" s="15" t="inlineStr"/>
      <c r="H301" s="15" t="n"/>
      <c r="I301" s="15" t="n"/>
      <c r="J301" s="35" t="inlineStr">
        <is>
          <t>A FAZER</t>
        </is>
      </c>
    </row>
    <row r="302">
      <c r="A302" s="53" t="n">
        <v>46346</v>
      </c>
      <c r="B302" s="6" t="inlineStr">
        <is>
          <t>Sexta</t>
        </is>
      </c>
      <c r="C302" s="6" t="n">
        <v>300</v>
      </c>
      <c r="D302" s="12" t="inlineStr">
        <is>
          <t>LINGUAGENS DE PROGRAMAÇÃO</t>
        </is>
      </c>
      <c r="E302" s="13" t="inlineStr">
        <is>
          <t>REVISÃO 7 DIAS</t>
        </is>
      </c>
      <c r="F302" s="12" t="inlineStr">
        <is>
          <t>Orientação a Objetos: pilares e características estruturais</t>
        </is>
      </c>
      <c r="G302" s="13" t="inlineStr"/>
      <c r="H302" s="13" t="n"/>
      <c r="I302" s="13" t="n"/>
      <c r="J302" s="35" t="inlineStr">
        <is>
          <t>A FAZER</t>
        </is>
      </c>
    </row>
    <row r="303">
      <c r="A303" s="53" t="n">
        <v>46346</v>
      </c>
      <c r="B303" s="6" t="inlineStr">
        <is>
          <t>Sexta</t>
        </is>
      </c>
      <c r="C303" s="6" t="n">
        <v>301</v>
      </c>
      <c r="D303" s="8" t="inlineStr">
        <is>
          <t>ARQUITETURA DE SOFTWARE</t>
        </is>
      </c>
      <c r="E303" s="9" t="inlineStr">
        <is>
          <t>REVISÃO 24H</t>
        </is>
      </c>
      <c r="F303" s="8" t="inlineStr">
        <is>
          <t>Padrões de projeto (design patterns) e anti-patterns</t>
        </is>
      </c>
      <c r="G303" s="9" t="inlineStr"/>
      <c r="H303" s="9" t="n"/>
      <c r="I303" s="9" t="n"/>
      <c r="J303" s="35" t="inlineStr">
        <is>
          <t>A FAZER</t>
        </is>
      </c>
    </row>
    <row r="304">
      <c r="A304" s="52" t="n">
        <v>46347</v>
      </c>
      <c r="B304" s="4" t="inlineStr">
        <is>
          <t>Sábado</t>
        </is>
      </c>
      <c r="C304" s="4" t="n">
        <v>302</v>
      </c>
      <c r="D304" s="5" t="inlineStr">
        <is>
          <t>LINGUAGENS DE PROGRAMAÇÃO</t>
        </is>
      </c>
      <c r="E304" s="6" t="inlineStr">
        <is>
          <t>ESTUDO</t>
        </is>
      </c>
      <c r="F304" s="5" t="inlineStr">
        <is>
          <t>Coleções, tipos genéricos, threads e escalonamento</t>
        </is>
      </c>
      <c r="G304" s="6" t="n">
        <v>120</v>
      </c>
      <c r="H304" s="6" t="n"/>
      <c r="I304" s="6" t="n"/>
      <c r="J304" s="35" t="inlineStr">
        <is>
          <t>A FAZER</t>
        </is>
      </c>
    </row>
    <row r="305">
      <c r="A305" s="52" t="n">
        <v>46347</v>
      </c>
      <c r="B305" s="4" t="inlineStr">
        <is>
          <t>Sábado</t>
        </is>
      </c>
      <c r="C305" s="4" t="n">
        <v>303</v>
      </c>
      <c r="D305" s="5" t="inlineStr">
        <is>
          <t>ESTRUTURA DE DADOS E ALGORITMOS</t>
        </is>
      </c>
      <c r="E305" s="6" t="inlineStr">
        <is>
          <t>ESTUDO</t>
        </is>
      </c>
      <c r="F305" s="5" t="inlineStr">
        <is>
          <t>Programação recursiva</t>
        </is>
      </c>
      <c r="G305" s="6" t="n">
        <v>120</v>
      </c>
      <c r="H305" s="6" t="n"/>
      <c r="I305" s="6" t="n"/>
      <c r="J305" s="35" t="inlineStr">
        <is>
          <t>A FAZER</t>
        </is>
      </c>
    </row>
    <row r="306">
      <c r="A306" s="52" t="n">
        <v>46347</v>
      </c>
      <c r="B306" s="4" t="inlineStr">
        <is>
          <t>Sábado</t>
        </is>
      </c>
      <c r="C306" s="4" t="n">
        <v>304</v>
      </c>
      <c r="D306" s="16" t="inlineStr">
        <is>
          <t>ENGENHARIA DE SOFTWARE</t>
        </is>
      </c>
      <c r="E306" s="17" t="inlineStr">
        <is>
          <t>REVISÃO 30 DIAS</t>
        </is>
      </c>
      <c r="F306" s="16" t="inlineStr">
        <is>
          <t>Diagrama Entidade-Relacionamento (ER) e modelagem</t>
        </is>
      </c>
      <c r="G306" s="17" t="inlineStr"/>
      <c r="H306" s="17" t="n"/>
      <c r="I306" s="17" t="n"/>
      <c r="J306" s="35" t="inlineStr">
        <is>
          <t>A FAZER</t>
        </is>
      </c>
    </row>
    <row r="307">
      <c r="A307" s="52" t="n">
        <v>46347</v>
      </c>
      <c r="B307" s="4" t="inlineStr">
        <is>
          <t>Sábado</t>
        </is>
      </c>
      <c r="C307" s="4" t="n">
        <v>305</v>
      </c>
      <c r="D307" s="14" t="inlineStr">
        <is>
          <t>LINGUAGENS DE PROGRAMAÇÃO</t>
        </is>
      </c>
      <c r="E307" s="15" t="inlineStr">
        <is>
          <t>REVISÃO 15 DIAS</t>
        </is>
      </c>
      <c r="F307" s="14" t="inlineStr">
        <is>
          <t>Java Core 8+ (sintaxe, streams, coleções)</t>
        </is>
      </c>
      <c r="G307" s="15" t="inlineStr"/>
      <c r="H307" s="15" t="n"/>
      <c r="I307" s="15" t="n"/>
      <c r="J307" s="35" t="inlineStr">
        <is>
          <t>A FAZER</t>
        </is>
      </c>
    </row>
    <row r="308">
      <c r="A308" s="52" t="n">
        <v>46347</v>
      </c>
      <c r="B308" s="4" t="inlineStr">
        <is>
          <t>Sábado</t>
        </is>
      </c>
      <c r="C308" s="4" t="n">
        <v>306</v>
      </c>
      <c r="D308" s="12" t="inlineStr">
        <is>
          <t>QUALIDADE DE SOFTWARE</t>
        </is>
      </c>
      <c r="E308" s="13" t="inlineStr">
        <is>
          <t>REVISÃO 7 DIAS</t>
        </is>
      </c>
      <c r="F308" s="12" t="inlineStr">
        <is>
          <t>Gerência de configuração de software (Git)</t>
        </is>
      </c>
      <c r="G308" s="13" t="inlineStr"/>
      <c r="H308" s="13" t="n"/>
      <c r="I308" s="13" t="n"/>
      <c r="J308" s="35" t="inlineStr">
        <is>
          <t>A FAZER</t>
        </is>
      </c>
    </row>
    <row r="309">
      <c r="A309" s="52" t="n">
        <v>46347</v>
      </c>
      <c r="B309" s="4" t="inlineStr">
        <is>
          <t>Sábado</t>
        </is>
      </c>
      <c r="C309" s="4" t="n">
        <v>307</v>
      </c>
      <c r="D309" s="12" t="inlineStr">
        <is>
          <t>ESTRUTURA DE DADOS E ALGORITMOS</t>
        </is>
      </c>
      <c r="E309" s="13" t="inlineStr">
        <is>
          <t>REVISÃO 7 DIAS</t>
        </is>
      </c>
      <c r="F309" s="12" t="inlineStr">
        <is>
          <t>Listas lineares, encadeadas, vetores e matrizes</t>
        </is>
      </c>
      <c r="G309" s="13" t="inlineStr"/>
      <c r="H309" s="13" t="n"/>
      <c r="I309" s="13" t="n"/>
      <c r="J309" s="35" t="inlineStr">
        <is>
          <t>A FAZER</t>
        </is>
      </c>
    </row>
    <row r="310">
      <c r="A310" s="53" t="n">
        <v>46348</v>
      </c>
      <c r="B310" s="6" t="inlineStr">
        <is>
          <t>Domingo</t>
        </is>
      </c>
      <c r="C310" s="6" t="n">
        <v>308</v>
      </c>
      <c r="D310" s="5" t="inlineStr">
        <is>
          <t>ARQUITETURA / BANCO DE DADOS</t>
        </is>
      </c>
      <c r="E310" s="6" t="inlineStr">
        <is>
          <t>ESTUDO</t>
        </is>
      </c>
      <c r="F310" s="5" t="inlineStr">
        <is>
          <t>Modelagem de dados: conceitual, lógica e física</t>
        </is>
      </c>
      <c r="G310" s="6" t="n">
        <v>120</v>
      </c>
      <c r="H310" s="6" t="n"/>
      <c r="I310" s="6" t="n"/>
      <c r="J310" s="35" t="inlineStr">
        <is>
          <t>A FAZER</t>
        </is>
      </c>
    </row>
    <row r="311">
      <c r="A311" s="53" t="n">
        <v>46348</v>
      </c>
      <c r="B311" s="6" t="inlineStr">
        <is>
          <t>Domingo</t>
        </is>
      </c>
      <c r="C311" s="6" t="n">
        <v>309</v>
      </c>
      <c r="D311" s="10" t="inlineStr">
        <is>
          <t>LÍNGUA PORTUGUESA</t>
        </is>
      </c>
      <c r="E311" s="11" t="inlineStr">
        <is>
          <t>SIMULADO</t>
        </is>
      </c>
      <c r="F311" s="10" t="inlineStr">
        <is>
          <t>Simulado misto (questões de todas as matérias da semana)</t>
        </is>
      </c>
      <c r="G311" s="11" t="n">
        <v>120</v>
      </c>
      <c r="H311" s="11" t="n"/>
      <c r="I311" s="11" t="n"/>
      <c r="J311" s="35" t="inlineStr">
        <is>
          <t>A FAZER</t>
        </is>
      </c>
    </row>
    <row r="312">
      <c r="A312" s="53" t="n">
        <v>46348</v>
      </c>
      <c r="B312" s="6" t="inlineStr">
        <is>
          <t>Domingo</t>
        </is>
      </c>
      <c r="C312" s="6" t="n">
        <v>310</v>
      </c>
      <c r="D312" s="16" t="inlineStr">
        <is>
          <t>ARQUITETURA DE SOFTWARE</t>
        </is>
      </c>
      <c r="E312" s="17" t="inlineStr">
        <is>
          <t>REVISÃO 30 DIAS</t>
        </is>
      </c>
      <c r="F312" s="16" t="inlineStr">
        <is>
          <t>Padrões SOAP, REST, XML, XSLT, WSDL, JSON, RMI</t>
        </is>
      </c>
      <c r="G312" s="17" t="inlineStr"/>
      <c r="H312" s="17" t="n"/>
      <c r="I312" s="17" t="n"/>
      <c r="J312" s="35" t="inlineStr">
        <is>
          <t>A FAZER</t>
        </is>
      </c>
    </row>
    <row r="313">
      <c r="A313" s="53" t="n">
        <v>46348</v>
      </c>
      <c r="B313" s="6" t="inlineStr">
        <is>
          <t>Domingo</t>
        </is>
      </c>
      <c r="C313" s="6" t="n">
        <v>311</v>
      </c>
      <c r="D313" s="14" t="inlineStr">
        <is>
          <t>ESTRUTURA DE DADOS E ALGORITMOS</t>
        </is>
      </c>
      <c r="E313" s="15" t="inlineStr">
        <is>
          <t>REVISÃO 15 DIAS</t>
        </is>
      </c>
      <c r="F313" s="14" t="inlineStr">
        <is>
          <t>Algoritmos de pesquisa e ordenação</t>
        </is>
      </c>
      <c r="G313" s="15" t="inlineStr"/>
      <c r="H313" s="15" t="n"/>
      <c r="I313" s="15" t="n"/>
      <c r="J313" s="35" t="inlineStr">
        <is>
          <t>A FAZER</t>
        </is>
      </c>
    </row>
    <row r="314">
      <c r="A314" s="53" t="n">
        <v>46348</v>
      </c>
      <c r="B314" s="6" t="inlineStr">
        <is>
          <t>Domingo</t>
        </is>
      </c>
      <c r="C314" s="6" t="n">
        <v>312</v>
      </c>
      <c r="D314" s="14" t="inlineStr">
        <is>
          <t>ARQUITETURA / BANCO DE DADOS</t>
        </is>
      </c>
      <c r="E314" s="15" t="inlineStr">
        <is>
          <t>REVISÃO 15 DIAS</t>
        </is>
      </c>
      <c r="F314" s="14" t="inlineStr">
        <is>
          <t>ETL e integração de dados; BI e mapeamento de fontes</t>
        </is>
      </c>
      <c r="G314" s="15" t="inlineStr"/>
      <c r="H314" s="15" t="n"/>
      <c r="I314" s="15" t="n"/>
      <c r="J314" s="35" t="inlineStr">
        <is>
          <t>A FAZER</t>
        </is>
      </c>
    </row>
    <row r="315">
      <c r="A315" s="53" t="n">
        <v>46348</v>
      </c>
      <c r="B315" s="6" t="inlineStr">
        <is>
          <t>Domingo</t>
        </is>
      </c>
      <c r="C315" s="6" t="n">
        <v>313</v>
      </c>
      <c r="D315" s="8" t="inlineStr">
        <is>
          <t>LINGUAGENS DE PROGRAMAÇÃO</t>
        </is>
      </c>
      <c r="E315" s="9" t="inlineStr">
        <is>
          <t>REVISÃO 24H</t>
        </is>
      </c>
      <c r="F315" s="8" t="inlineStr">
        <is>
          <t>Coleções, tipos genéricos, threads e escalonamento</t>
        </is>
      </c>
      <c r="G315" s="9" t="inlineStr"/>
      <c r="H315" s="9" t="n"/>
      <c r="I315" s="9" t="n"/>
      <c r="J315" s="35" t="inlineStr">
        <is>
          <t>A FAZER</t>
        </is>
      </c>
    </row>
    <row r="316">
      <c r="A316" s="53" t="n">
        <v>46348</v>
      </c>
      <c r="B316" s="6" t="inlineStr">
        <is>
          <t>Domingo</t>
        </is>
      </c>
      <c r="C316" s="6" t="n">
        <v>314</v>
      </c>
      <c r="D316" s="8" t="inlineStr">
        <is>
          <t>ESTRUTURA DE DADOS E ALGORITMOS</t>
        </is>
      </c>
      <c r="E316" s="9" t="inlineStr">
        <is>
          <t>REVISÃO 24H</t>
        </is>
      </c>
      <c r="F316" s="8" t="inlineStr">
        <is>
          <t>Programação recursiva</t>
        </is>
      </c>
      <c r="G316" s="9" t="inlineStr"/>
      <c r="H316" s="9" t="n"/>
      <c r="I316" s="9" t="n"/>
      <c r="J316" s="35" t="inlineStr">
        <is>
          <t>A FAZER</t>
        </is>
      </c>
    </row>
    <row r="317">
      <c r="A317" s="52" t="n">
        <v>46349</v>
      </c>
      <c r="B317" s="4" t="inlineStr">
        <is>
          <t>Segunda</t>
        </is>
      </c>
      <c r="C317" s="4" t="n">
        <v>315</v>
      </c>
      <c r="D317" s="5" t="inlineStr">
        <is>
          <t>DIREITO CONSTITUCIONAL</t>
        </is>
      </c>
      <c r="E317" s="6" t="inlineStr">
        <is>
          <t>ESTUDO</t>
        </is>
      </c>
      <c r="F317" s="5" t="inlineStr">
        <is>
          <t>Organização do Estado e dos Poderes</t>
        </is>
      </c>
      <c r="G317" s="6" t="n">
        <v>120</v>
      </c>
      <c r="H317" s="6" t="n"/>
      <c r="I317" s="6" t="n"/>
      <c r="J317" s="35" t="inlineStr">
        <is>
          <t>A FAZER</t>
        </is>
      </c>
    </row>
    <row r="318">
      <c r="A318" s="52" t="n">
        <v>46349</v>
      </c>
      <c r="B318" s="4" t="inlineStr">
        <is>
          <t>Segunda</t>
        </is>
      </c>
      <c r="C318" s="4" t="n">
        <v>316</v>
      </c>
      <c r="D318" s="16" t="inlineStr">
        <is>
          <t>LINGUAGENS DE PROGRAMAÇÃO</t>
        </is>
      </c>
      <c r="E318" s="17" t="inlineStr">
        <is>
          <t>REVISÃO 30 DIAS</t>
        </is>
      </c>
      <c r="F318" s="16" t="inlineStr">
        <is>
          <t>HTML5, CSS3 e JavaScript</t>
        </is>
      </c>
      <c r="G318" s="17" t="inlineStr"/>
      <c r="H318" s="17" t="n"/>
      <c r="I318" s="17" t="n"/>
      <c r="J318" s="35" t="inlineStr">
        <is>
          <t>A FAZER</t>
        </is>
      </c>
    </row>
    <row r="319">
      <c r="A319" s="52" t="n">
        <v>46349</v>
      </c>
      <c r="B319" s="4" t="inlineStr">
        <is>
          <t>Segunda</t>
        </is>
      </c>
      <c r="C319" s="4" t="n">
        <v>317</v>
      </c>
      <c r="D319" s="16" t="inlineStr">
        <is>
          <t>ESTRUTURA DE DADOS E ALGORITMOS</t>
        </is>
      </c>
      <c r="E319" s="17" t="inlineStr">
        <is>
          <t>REVISÃO 30 DIAS</t>
        </is>
      </c>
      <c r="F319" s="16" t="inlineStr">
        <is>
          <t>Tipos básicos e abstratos de dados (lista, fila, pilha, árvore)</t>
        </is>
      </c>
      <c r="G319" s="17" t="inlineStr"/>
      <c r="H319" s="17" t="n"/>
      <c r="I319" s="17" t="n"/>
      <c r="J319" s="35" t="inlineStr">
        <is>
          <t>A FAZER</t>
        </is>
      </c>
    </row>
    <row r="320">
      <c r="A320" s="52" t="n">
        <v>46349</v>
      </c>
      <c r="B320" s="4" t="inlineStr">
        <is>
          <t>Segunda</t>
        </is>
      </c>
      <c r="C320" s="4" t="n">
        <v>318</v>
      </c>
      <c r="D320" s="14" t="inlineStr">
        <is>
          <t>LÍNGUA PORTUGUESA</t>
        </is>
      </c>
      <c r="E320" s="15" t="inlineStr">
        <is>
          <t>REVISÃO 15 DIAS</t>
        </is>
      </c>
      <c r="F320" s="14" t="inlineStr">
        <is>
          <t>Coesão e coerência textual; reescrita de frases</t>
        </is>
      </c>
      <c r="G320" s="15" t="inlineStr"/>
      <c r="H320" s="15" t="n"/>
      <c r="I320" s="15" t="n"/>
      <c r="J320" s="35" t="inlineStr">
        <is>
          <t>A FAZER</t>
        </is>
      </c>
    </row>
    <row r="321">
      <c r="A321" s="52" t="n">
        <v>46349</v>
      </c>
      <c r="B321" s="4" t="inlineStr">
        <is>
          <t>Segunda</t>
        </is>
      </c>
      <c r="C321" s="4" t="n">
        <v>319</v>
      </c>
      <c r="D321" s="12" t="inlineStr">
        <is>
          <t>ARQUITETURA / BANCO DE DADOS</t>
        </is>
      </c>
      <c r="E321" s="13" t="inlineStr">
        <is>
          <t>REVISÃO 7 DIAS</t>
        </is>
      </c>
      <c r="F321" s="12" t="inlineStr">
        <is>
          <t>Manipulação de dados em planilhas; bases multidimensionais</t>
        </is>
      </c>
      <c r="G321" s="13" t="inlineStr"/>
      <c r="H321" s="13" t="n"/>
      <c r="I321" s="13" t="n"/>
      <c r="J321" s="35" t="inlineStr">
        <is>
          <t>A FAZER</t>
        </is>
      </c>
    </row>
    <row r="322">
      <c r="A322" s="52" t="n">
        <v>46349</v>
      </c>
      <c r="B322" s="4" t="inlineStr">
        <is>
          <t>Segunda</t>
        </is>
      </c>
      <c r="C322" s="4" t="n">
        <v>320</v>
      </c>
      <c r="D322" s="8" t="inlineStr">
        <is>
          <t>ARQUITETURA / BANCO DE DADOS</t>
        </is>
      </c>
      <c r="E322" s="9" t="inlineStr">
        <is>
          <t>REVISÃO 24H</t>
        </is>
      </c>
      <c r="F322" s="8" t="inlineStr">
        <is>
          <t>Modelagem de dados: conceitual, lógica e física</t>
        </is>
      </c>
      <c r="G322" s="9" t="inlineStr"/>
      <c r="H322" s="9" t="n"/>
      <c r="I322" s="9" t="n"/>
      <c r="J322" s="35" t="inlineStr">
        <is>
          <t>A FAZER</t>
        </is>
      </c>
    </row>
    <row r="323">
      <c r="A323" s="53" t="n">
        <v>46350</v>
      </c>
      <c r="B323" s="6" t="inlineStr">
        <is>
          <t>Terça</t>
        </is>
      </c>
      <c r="C323" s="6" t="n">
        <v>321</v>
      </c>
      <c r="D323" s="5" t="inlineStr">
        <is>
          <t>DIREITO ADMINISTRATIVO</t>
        </is>
      </c>
      <c r="E323" s="6" t="inlineStr">
        <is>
          <t>ESTUDO</t>
        </is>
      </c>
      <c r="F323" s="5" t="inlineStr">
        <is>
          <t>Improbidade Administrativa</t>
        </is>
      </c>
      <c r="G323" s="6" t="n">
        <v>120</v>
      </c>
      <c r="H323" s="6" t="n"/>
      <c r="I323" s="6" t="n"/>
      <c r="J323" s="35" t="inlineStr">
        <is>
          <t>A FAZER</t>
        </is>
      </c>
    </row>
    <row r="324">
      <c r="A324" s="53" t="n">
        <v>46350</v>
      </c>
      <c r="B324" s="6" t="inlineStr">
        <is>
          <t>Terça</t>
        </is>
      </c>
      <c r="C324" s="6" t="n">
        <v>322</v>
      </c>
      <c r="D324" s="16" t="inlineStr">
        <is>
          <t>ARQUITETURA / BANCO DE DADOS</t>
        </is>
      </c>
      <c r="E324" s="17" t="inlineStr">
        <is>
          <t>REVISÃO 30 DIAS</t>
        </is>
      </c>
      <c r="F324" s="16" t="inlineStr">
        <is>
          <t>ACID, transações e performance de banco de dados</t>
        </is>
      </c>
      <c r="G324" s="17" t="inlineStr"/>
      <c r="H324" s="17" t="n"/>
      <c r="I324" s="17" t="n"/>
      <c r="J324" s="35" t="inlineStr">
        <is>
          <t>A FAZER</t>
        </is>
      </c>
    </row>
    <row r="325">
      <c r="A325" s="53" t="n">
        <v>46350</v>
      </c>
      <c r="B325" s="6" t="inlineStr">
        <is>
          <t>Terça</t>
        </is>
      </c>
      <c r="C325" s="6" t="n">
        <v>323</v>
      </c>
      <c r="D325" s="14" t="inlineStr">
        <is>
          <t>DIREITO ADMINISTRATIVO</t>
        </is>
      </c>
      <c r="E325" s="15" t="inlineStr">
        <is>
          <t>REVISÃO 15 DIAS</t>
        </is>
      </c>
      <c r="F325" s="14" t="inlineStr">
        <is>
          <t>Serviços Públicos; Agentes Públicos e Concurso Público</t>
        </is>
      </c>
      <c r="G325" s="15" t="inlineStr"/>
      <c r="H325" s="15" t="n"/>
      <c r="I325" s="15" t="n"/>
      <c r="J325" s="35" t="inlineStr">
        <is>
          <t>A FAZER</t>
        </is>
      </c>
    </row>
    <row r="326">
      <c r="A326" s="53" t="n">
        <v>46350</v>
      </c>
      <c r="B326" s="6" t="inlineStr">
        <is>
          <t>Terça</t>
        </is>
      </c>
      <c r="C326" s="6" t="n">
        <v>324</v>
      </c>
      <c r="D326" s="12" t="inlineStr">
        <is>
          <t>SEGURANÇA DA INFORMAÇÃO</t>
        </is>
      </c>
      <c r="E326" s="13" t="inlineStr">
        <is>
          <t>REVISÃO 7 DIAS</t>
        </is>
      </c>
      <c r="F326" s="12" t="inlineStr">
        <is>
          <t>SSO (Single Sign-On) e Autenticação Multifator (MFA)</t>
        </is>
      </c>
      <c r="G326" s="13" t="inlineStr"/>
      <c r="H326" s="13" t="n"/>
      <c r="I326" s="13" t="n"/>
      <c r="J326" s="35" t="inlineStr">
        <is>
          <t>A FAZER</t>
        </is>
      </c>
    </row>
    <row r="327">
      <c r="A327" s="53" t="n">
        <v>46350</v>
      </c>
      <c r="B327" s="6" t="inlineStr">
        <is>
          <t>Terça</t>
        </is>
      </c>
      <c r="C327" s="6" t="n">
        <v>325</v>
      </c>
      <c r="D327" s="8" t="inlineStr">
        <is>
          <t>DIREITO CONSTITUCIONAL</t>
        </is>
      </c>
      <c r="E327" s="9" t="inlineStr">
        <is>
          <t>REVISÃO 24H</t>
        </is>
      </c>
      <c r="F327" s="8" t="inlineStr">
        <is>
          <t>Organização do Estado e dos Poderes</t>
        </is>
      </c>
      <c r="G327" s="9" t="inlineStr"/>
      <c r="H327" s="9" t="n"/>
      <c r="I327" s="9" t="n"/>
      <c r="J327" s="35" t="inlineStr">
        <is>
          <t>A FAZER</t>
        </is>
      </c>
    </row>
    <row r="328">
      <c r="A328" s="52" t="n">
        <v>46351</v>
      </c>
      <c r="B328" s="4" t="inlineStr">
        <is>
          <t>Quarta</t>
        </is>
      </c>
      <c r="C328" s="4" t="n">
        <v>326</v>
      </c>
      <c r="D328" s="5" t="inlineStr">
        <is>
          <t>LEGISLAÇÃO INSTITUCIONAL MP</t>
        </is>
      </c>
      <c r="E328" s="6" t="inlineStr">
        <is>
          <t>ESTUDO</t>
        </is>
      </c>
      <c r="F328" s="5" t="inlineStr">
        <is>
          <t>Lei Orgânica Nacional do MP (Lei 8.625/93)</t>
        </is>
      </c>
      <c r="G328" s="6" t="n">
        <v>120</v>
      </c>
      <c r="H328" s="6" t="n"/>
      <c r="I328" s="6" t="n"/>
      <c r="J328" s="35" t="inlineStr">
        <is>
          <t>A FAZER</t>
        </is>
      </c>
    </row>
    <row r="329">
      <c r="A329" s="52" t="n">
        <v>46351</v>
      </c>
      <c r="B329" s="4" t="inlineStr">
        <is>
          <t>Quarta</t>
        </is>
      </c>
      <c r="C329" s="4" t="n">
        <v>327</v>
      </c>
      <c r="D329" s="16" t="inlineStr">
        <is>
          <t>DIREITO CONSTITUCIONAL</t>
        </is>
      </c>
      <c r="E329" s="17" t="inlineStr">
        <is>
          <t>REVISÃO 30 DIAS</t>
        </is>
      </c>
      <c r="F329" s="16" t="inlineStr">
        <is>
          <t>Direitos e Garantias Fundamentais</t>
        </is>
      </c>
      <c r="G329" s="17" t="inlineStr"/>
      <c r="H329" s="17" t="n"/>
      <c r="I329" s="17" t="n"/>
      <c r="J329" s="35" t="inlineStr">
        <is>
          <t>A FAZER</t>
        </is>
      </c>
    </row>
    <row r="330">
      <c r="A330" s="52" t="n">
        <v>46351</v>
      </c>
      <c r="B330" s="4" t="inlineStr">
        <is>
          <t>Quarta</t>
        </is>
      </c>
      <c r="C330" s="4" t="n">
        <v>328</v>
      </c>
      <c r="D330" s="14" t="inlineStr">
        <is>
          <t>LEGISLAÇÃO INSTITUCIONAL MP</t>
        </is>
      </c>
      <c r="E330" s="15" t="inlineStr">
        <is>
          <t>REVISÃO 15 DIAS</t>
        </is>
      </c>
      <c r="F330" s="14" t="inlineStr">
        <is>
          <t>Política Antifraude e Código de Ética do MPMS</t>
        </is>
      </c>
      <c r="G330" s="15" t="inlineStr"/>
      <c r="H330" s="15" t="n"/>
      <c r="I330" s="15" t="n"/>
      <c r="J330" s="35" t="inlineStr">
        <is>
          <t>A FAZER</t>
        </is>
      </c>
    </row>
    <row r="331">
      <c r="A331" s="52" t="n">
        <v>46351</v>
      </c>
      <c r="B331" s="4" t="inlineStr">
        <is>
          <t>Quarta</t>
        </is>
      </c>
      <c r="C331" s="4" t="n">
        <v>329</v>
      </c>
      <c r="D331" s="12" t="inlineStr">
        <is>
          <t>ENGENHARIA DE SOFTWARE</t>
        </is>
      </c>
      <c r="E331" s="13" t="inlineStr">
        <is>
          <t>REVISÃO 7 DIAS</t>
        </is>
      </c>
      <c r="F331" s="12" t="inlineStr">
        <is>
          <t>Gerenciamento de ciclo de vida de aplicações; Integração contínua</t>
        </is>
      </c>
      <c r="G331" s="13" t="inlineStr"/>
      <c r="H331" s="13" t="n"/>
      <c r="I331" s="13" t="n"/>
      <c r="J331" s="35" t="inlineStr">
        <is>
          <t>A FAZER</t>
        </is>
      </c>
    </row>
    <row r="332">
      <c r="A332" s="52" t="n">
        <v>46351</v>
      </c>
      <c r="B332" s="4" t="inlineStr">
        <is>
          <t>Quarta</t>
        </is>
      </c>
      <c r="C332" s="4" t="n">
        <v>330</v>
      </c>
      <c r="D332" s="8" t="inlineStr">
        <is>
          <t>DIREITO ADMINISTRATIVO</t>
        </is>
      </c>
      <c r="E332" s="9" t="inlineStr">
        <is>
          <t>REVISÃO 24H</t>
        </is>
      </c>
      <c r="F332" s="8" t="inlineStr">
        <is>
          <t>Improbidade Administrativa</t>
        </is>
      </c>
      <c r="G332" s="9" t="inlineStr"/>
      <c r="H332" s="9" t="n"/>
      <c r="I332" s="9" t="n"/>
      <c r="J332" s="35" t="inlineStr">
        <is>
          <t>A FAZER</t>
        </is>
      </c>
    </row>
    <row r="333">
      <c r="A333" s="53" t="n">
        <v>46352</v>
      </c>
      <c r="B333" s="6" t="inlineStr">
        <is>
          <t>Quinta</t>
        </is>
      </c>
      <c r="C333" s="6" t="n">
        <v>331</v>
      </c>
      <c r="D333" s="5" t="inlineStr">
        <is>
          <t>ENGENHARIA DE SOFTWARE</t>
        </is>
      </c>
      <c r="E333" s="6" t="inlineStr">
        <is>
          <t>ESTUDO</t>
        </is>
      </c>
      <c r="F333" s="5" t="inlineStr">
        <is>
          <t>Requisitos: elicitação, histórias de usuário, MVP, prototipação, personas</t>
        </is>
      </c>
      <c r="G333" s="6" t="n">
        <v>120</v>
      </c>
      <c r="H333" s="6" t="n"/>
      <c r="I333" s="6" t="n"/>
      <c r="J333" s="35" t="inlineStr">
        <is>
          <t>A FAZER</t>
        </is>
      </c>
    </row>
    <row r="334">
      <c r="A334" s="53" t="n">
        <v>46352</v>
      </c>
      <c r="B334" s="6" t="inlineStr">
        <is>
          <t>Quinta</t>
        </is>
      </c>
      <c r="C334" s="6" t="n">
        <v>332</v>
      </c>
      <c r="D334" s="16" t="inlineStr">
        <is>
          <t>DIREITO ADMINISTRATIVO</t>
        </is>
      </c>
      <c r="E334" s="17" t="inlineStr">
        <is>
          <t>REVISÃO 30 DIAS</t>
        </is>
      </c>
      <c r="F334" s="16" t="inlineStr">
        <is>
          <t>Lei 8.666/93, Lei 14.133/2021 e Pregão (Lei 10.520/2002)</t>
        </is>
      </c>
      <c r="G334" s="17" t="inlineStr"/>
      <c r="H334" s="17" t="n"/>
      <c r="I334" s="17" t="n"/>
      <c r="J334" s="35" t="inlineStr">
        <is>
          <t>A FAZER</t>
        </is>
      </c>
    </row>
    <row r="335">
      <c r="A335" s="53" t="n">
        <v>46352</v>
      </c>
      <c r="B335" s="6" t="inlineStr">
        <is>
          <t>Quinta</t>
        </is>
      </c>
      <c r="C335" s="6" t="n">
        <v>333</v>
      </c>
      <c r="D335" s="14" t="inlineStr">
        <is>
          <t>ENGENHARIA DE SOFTWARE</t>
        </is>
      </c>
      <c r="E335" s="15" t="inlineStr">
        <is>
          <t>REVISÃO 15 DIAS</t>
        </is>
      </c>
      <c r="F335" s="14" t="inlineStr">
        <is>
          <t>Processos interativo/incremental; práticas ágeis; TDD</t>
        </is>
      </c>
      <c r="G335" s="15" t="inlineStr"/>
      <c r="H335" s="15" t="n"/>
      <c r="I335" s="15" t="n"/>
      <c r="J335" s="35" t="inlineStr">
        <is>
          <t>A FAZER</t>
        </is>
      </c>
    </row>
    <row r="336">
      <c r="A336" s="53" t="n">
        <v>46352</v>
      </c>
      <c r="B336" s="6" t="inlineStr">
        <is>
          <t>Quinta</t>
        </is>
      </c>
      <c r="C336" s="6" t="n">
        <v>334</v>
      </c>
      <c r="D336" s="12" t="inlineStr">
        <is>
          <t>ARQUITETURA DE SOFTWARE</t>
        </is>
      </c>
      <c r="E336" s="13" t="inlineStr">
        <is>
          <t>REVISÃO 7 DIAS</t>
        </is>
      </c>
      <c r="F336" s="12" t="inlineStr">
        <is>
          <t>Padrões de projeto (design patterns) e anti-patterns</t>
        </is>
      </c>
      <c r="G336" s="13" t="inlineStr"/>
      <c r="H336" s="13" t="n"/>
      <c r="I336" s="13" t="n"/>
      <c r="J336" s="35" t="inlineStr">
        <is>
          <t>A FAZER</t>
        </is>
      </c>
    </row>
    <row r="337">
      <c r="A337" s="53" t="n">
        <v>46352</v>
      </c>
      <c r="B337" s="6" t="inlineStr">
        <is>
          <t>Quinta</t>
        </is>
      </c>
      <c r="C337" s="6" t="n">
        <v>335</v>
      </c>
      <c r="D337" s="8" t="inlineStr">
        <is>
          <t>LEGISLAÇÃO INSTITUCIONAL MP</t>
        </is>
      </c>
      <c r="E337" s="9" t="inlineStr">
        <is>
          <t>REVISÃO 24H</t>
        </is>
      </c>
      <c r="F337" s="8" t="inlineStr">
        <is>
          <t>Lei Orgânica Nacional do MP (Lei 8.625/93)</t>
        </is>
      </c>
      <c r="G337" s="9" t="inlineStr"/>
      <c r="H337" s="9" t="n"/>
      <c r="I337" s="9" t="n"/>
      <c r="J337" s="35" t="inlineStr">
        <is>
          <t>A FAZER</t>
        </is>
      </c>
    </row>
    <row r="338">
      <c r="A338" s="52" t="n">
        <v>46353</v>
      </c>
      <c r="B338" s="4" t="inlineStr">
        <is>
          <t>Sexta</t>
        </is>
      </c>
      <c r="C338" s="4" t="n">
        <v>336</v>
      </c>
      <c r="D338" s="5" t="inlineStr">
        <is>
          <t>ARQUITETURA DE SOFTWARE</t>
        </is>
      </c>
      <c r="E338" s="6" t="inlineStr">
        <is>
          <t>ESTUDO</t>
        </is>
      </c>
      <c r="F338" s="5" t="inlineStr">
        <is>
          <t>Conteinerização; servidores de aplicação</t>
        </is>
      </c>
      <c r="G338" s="6" t="n">
        <v>120</v>
      </c>
      <c r="H338" s="6" t="n"/>
      <c r="I338" s="6" t="n"/>
      <c r="J338" s="35" t="inlineStr">
        <is>
          <t>A FAZER</t>
        </is>
      </c>
    </row>
    <row r="339">
      <c r="A339" s="52" t="n">
        <v>46353</v>
      </c>
      <c r="B339" s="4" t="inlineStr">
        <is>
          <t>Sexta</t>
        </is>
      </c>
      <c r="C339" s="4" t="n">
        <v>337</v>
      </c>
      <c r="D339" s="16" t="inlineStr">
        <is>
          <t>LEGISLAÇÃO INSTITUCIONAL MP</t>
        </is>
      </c>
      <c r="E339" s="17" t="inlineStr">
        <is>
          <t>REVISÃO 30 DIAS</t>
        </is>
      </c>
      <c r="F339" s="16" t="inlineStr">
        <is>
          <t>Plano de Cargos/Carreiras MPMS (Lei 4.134/2011) + LGPD (Lei 13.709/2018)</t>
        </is>
      </c>
      <c r="G339" s="17" t="inlineStr"/>
      <c r="H339" s="17" t="n"/>
      <c r="I339" s="17" t="n"/>
      <c r="J339" s="35" t="inlineStr">
        <is>
          <t>A FAZER</t>
        </is>
      </c>
    </row>
    <row r="340">
      <c r="A340" s="52" t="n">
        <v>46353</v>
      </c>
      <c r="B340" s="4" t="inlineStr">
        <is>
          <t>Sexta</t>
        </is>
      </c>
      <c r="C340" s="4" t="n">
        <v>338</v>
      </c>
      <c r="D340" s="14" t="inlineStr">
        <is>
          <t>ARQUITETURA DE SOFTWARE</t>
        </is>
      </c>
      <c r="E340" s="15" t="inlineStr">
        <is>
          <t>REVISÃO 15 DIAS</t>
        </is>
      </c>
      <c r="F340" s="14" t="inlineStr">
        <is>
          <t>Arquitetura Orientada a Serviços (SOA) e interoperabilidade</t>
        </is>
      </c>
      <c r="G340" s="15" t="inlineStr"/>
      <c r="H340" s="15" t="n"/>
      <c r="I340" s="15" t="n"/>
      <c r="J340" s="35" t="inlineStr">
        <is>
          <t>A FAZER</t>
        </is>
      </c>
    </row>
    <row r="341">
      <c r="A341" s="52" t="n">
        <v>46353</v>
      </c>
      <c r="B341" s="4" t="inlineStr">
        <is>
          <t>Sexta</t>
        </is>
      </c>
      <c r="C341" s="4" t="n">
        <v>339</v>
      </c>
      <c r="D341" s="8" t="inlineStr">
        <is>
          <t>ENGENHARIA DE SOFTWARE</t>
        </is>
      </c>
      <c r="E341" s="9" t="inlineStr">
        <is>
          <t>REVISÃO 24H</t>
        </is>
      </c>
      <c r="F341" s="8" t="inlineStr">
        <is>
          <t>Requisitos: elicitação, histórias de usuário, MVP, prototipação, personas</t>
        </is>
      </c>
      <c r="G341" s="9" t="inlineStr"/>
      <c r="H341" s="9" t="n"/>
      <c r="I341" s="9" t="n"/>
      <c r="J341" s="35" t="inlineStr">
        <is>
          <t>A FAZER</t>
        </is>
      </c>
    </row>
    <row r="342">
      <c r="A342" s="53" t="n">
        <v>46354</v>
      </c>
      <c r="B342" s="6" t="inlineStr">
        <is>
          <t>Sábado</t>
        </is>
      </c>
      <c r="C342" s="6" t="n">
        <v>340</v>
      </c>
      <c r="D342" s="5" t="inlineStr">
        <is>
          <t>LINGUAGENS DE PROGRAMAÇÃO</t>
        </is>
      </c>
      <c r="E342" s="6" t="inlineStr">
        <is>
          <t>ESTUDO</t>
        </is>
      </c>
      <c r="F342" s="5" t="inlineStr">
        <is>
          <t>Tratamento de exceções e anotações</t>
        </is>
      </c>
      <c r="G342" s="6" t="n">
        <v>120</v>
      </c>
      <c r="H342" s="6" t="n"/>
      <c r="I342" s="6" t="n"/>
      <c r="J342" s="35" t="inlineStr">
        <is>
          <t>A FAZER</t>
        </is>
      </c>
    </row>
    <row r="343">
      <c r="A343" s="53" t="n">
        <v>46354</v>
      </c>
      <c r="B343" s="6" t="inlineStr">
        <is>
          <t>Sábado</t>
        </is>
      </c>
      <c r="C343" s="6" t="n">
        <v>341</v>
      </c>
      <c r="D343" s="5" t="inlineStr">
        <is>
          <t>QUALIDADE DE SOFTWARE</t>
        </is>
      </c>
      <c r="E343" s="6" t="inlineStr">
        <is>
          <t>ESTUDO</t>
        </is>
      </c>
      <c r="F343" s="5" t="inlineStr">
        <is>
          <t>Conceitos básicos de auditoria de sistemas</t>
        </is>
      </c>
      <c r="G343" s="6" t="n">
        <v>120</v>
      </c>
      <c r="H343" s="6" t="n"/>
      <c r="I343" s="6" t="n"/>
      <c r="J343" s="35" t="inlineStr">
        <is>
          <t>A FAZER</t>
        </is>
      </c>
    </row>
    <row r="344">
      <c r="A344" s="53" t="n">
        <v>46354</v>
      </c>
      <c r="B344" s="6" t="inlineStr">
        <is>
          <t>Sábado</t>
        </is>
      </c>
      <c r="C344" s="6" t="n">
        <v>342</v>
      </c>
      <c r="D344" s="16" t="inlineStr">
        <is>
          <t>ENGENHARIA DE SOFTWARE</t>
        </is>
      </c>
      <c r="E344" s="17" t="inlineStr">
        <is>
          <t>REVISÃO 30 DIAS</t>
        </is>
      </c>
      <c r="F344" s="16" t="inlineStr">
        <is>
          <t>DevOps e CI/CD (conceitos e ferramentas)</t>
        </is>
      </c>
      <c r="G344" s="17" t="inlineStr"/>
      <c r="H344" s="17" t="n"/>
      <c r="I344" s="17" t="n"/>
      <c r="J344" s="35" t="inlineStr">
        <is>
          <t>A FAZER</t>
        </is>
      </c>
    </row>
    <row r="345">
      <c r="A345" s="53" t="n">
        <v>46354</v>
      </c>
      <c r="B345" s="6" t="inlineStr">
        <is>
          <t>Sábado</t>
        </is>
      </c>
      <c r="C345" s="6" t="n">
        <v>343</v>
      </c>
      <c r="D345" s="14" t="inlineStr">
        <is>
          <t>LINGUAGENS DE PROGRAMAÇÃO</t>
        </is>
      </c>
      <c r="E345" s="15" t="inlineStr">
        <is>
          <t>REVISÃO 15 DIAS</t>
        </is>
      </c>
      <c r="F345" s="14" t="inlineStr">
        <is>
          <t>Orientação a Objetos: pilares e características estruturais</t>
        </is>
      </c>
      <c r="G345" s="15" t="inlineStr"/>
      <c r="H345" s="15" t="n"/>
      <c r="I345" s="15" t="n"/>
      <c r="J345" s="35" t="inlineStr">
        <is>
          <t>A FAZER</t>
        </is>
      </c>
    </row>
    <row r="346">
      <c r="A346" s="53" t="n">
        <v>46354</v>
      </c>
      <c r="B346" s="6" t="inlineStr">
        <is>
          <t>Sábado</t>
        </is>
      </c>
      <c r="C346" s="6" t="n">
        <v>344</v>
      </c>
      <c r="D346" s="12" t="inlineStr">
        <is>
          <t>LINGUAGENS DE PROGRAMAÇÃO</t>
        </is>
      </c>
      <c r="E346" s="13" t="inlineStr">
        <is>
          <t>REVISÃO 7 DIAS</t>
        </is>
      </c>
      <c r="F346" s="12" t="inlineStr">
        <is>
          <t>Coleções, tipos genéricos, threads e escalonamento</t>
        </is>
      </c>
      <c r="G346" s="13" t="inlineStr"/>
      <c r="H346" s="13" t="n"/>
      <c r="I346" s="13" t="n"/>
      <c r="J346" s="35" t="inlineStr">
        <is>
          <t>A FAZER</t>
        </is>
      </c>
    </row>
    <row r="347">
      <c r="A347" s="53" t="n">
        <v>46354</v>
      </c>
      <c r="B347" s="6" t="inlineStr">
        <is>
          <t>Sábado</t>
        </is>
      </c>
      <c r="C347" s="6" t="n">
        <v>345</v>
      </c>
      <c r="D347" s="12" t="inlineStr">
        <is>
          <t>ESTRUTURA DE DADOS E ALGORITMOS</t>
        </is>
      </c>
      <c r="E347" s="13" t="inlineStr">
        <is>
          <t>REVISÃO 7 DIAS</t>
        </is>
      </c>
      <c r="F347" s="12" t="inlineStr">
        <is>
          <t>Programação recursiva</t>
        </is>
      </c>
      <c r="G347" s="13" t="inlineStr"/>
      <c r="H347" s="13" t="n"/>
      <c r="I347" s="13" t="n"/>
      <c r="J347" s="35" t="inlineStr">
        <is>
          <t>A FAZER</t>
        </is>
      </c>
    </row>
    <row r="348">
      <c r="A348" s="53" t="n">
        <v>46354</v>
      </c>
      <c r="B348" s="6" t="inlineStr">
        <is>
          <t>Sábado</t>
        </is>
      </c>
      <c r="C348" s="6" t="n">
        <v>346</v>
      </c>
      <c r="D348" s="8" t="inlineStr">
        <is>
          <t>ARQUITETURA DE SOFTWARE</t>
        </is>
      </c>
      <c r="E348" s="9" t="inlineStr">
        <is>
          <t>REVISÃO 24H</t>
        </is>
      </c>
      <c r="F348" s="8" t="inlineStr">
        <is>
          <t>Conteinerização; servidores de aplicação</t>
        </is>
      </c>
      <c r="G348" s="9" t="inlineStr"/>
      <c r="H348" s="9" t="n"/>
      <c r="I348" s="9" t="n"/>
      <c r="J348" s="35" t="inlineStr">
        <is>
          <t>A FAZER</t>
        </is>
      </c>
    </row>
    <row r="349">
      <c r="A349" s="52" t="n">
        <v>46355</v>
      </c>
      <c r="B349" s="4" t="inlineStr">
        <is>
          <t>Domingo</t>
        </is>
      </c>
      <c r="C349" s="4" t="n">
        <v>347</v>
      </c>
      <c r="D349" s="5" t="inlineStr">
        <is>
          <t>ESTRUTURA DE DADOS E ALGORITMOS</t>
        </is>
      </c>
      <c r="E349" s="6" t="inlineStr">
        <is>
          <t>ESTUDO</t>
        </is>
      </c>
      <c r="F349" s="5" t="inlineStr">
        <is>
          <t>Tipos básicos e abstratos de dados (lista, fila, pilha, árvore)</t>
        </is>
      </c>
      <c r="G349" s="6" t="n">
        <v>120</v>
      </c>
      <c r="H349" s="6" t="n"/>
      <c r="I349" s="6" t="n"/>
      <c r="J349" s="35" t="inlineStr">
        <is>
          <t>A FAZER</t>
        </is>
      </c>
    </row>
    <row r="350">
      <c r="A350" s="52" t="n">
        <v>46355</v>
      </c>
      <c r="B350" s="4" t="inlineStr">
        <is>
          <t>Domingo</t>
        </is>
      </c>
      <c r="C350" s="4" t="n">
        <v>348</v>
      </c>
      <c r="D350" s="10" t="inlineStr">
        <is>
          <t>ARQUITETURA / BANCO DE DADOS</t>
        </is>
      </c>
      <c r="E350" s="11" t="inlineStr">
        <is>
          <t>SIMULADO</t>
        </is>
      </c>
      <c r="F350" s="10" t="inlineStr">
        <is>
          <t>Simulado misto (questões de todas as matérias da semana)</t>
        </is>
      </c>
      <c r="G350" s="11" t="n">
        <v>120</v>
      </c>
      <c r="H350" s="11" t="n"/>
      <c r="I350" s="11" t="n"/>
      <c r="J350" s="35" t="inlineStr">
        <is>
          <t>A FAZER</t>
        </is>
      </c>
    </row>
    <row r="351">
      <c r="A351" s="52" t="n">
        <v>46355</v>
      </c>
      <c r="B351" s="4" t="inlineStr">
        <is>
          <t>Domingo</t>
        </is>
      </c>
      <c r="C351" s="4" t="n">
        <v>349</v>
      </c>
      <c r="D351" s="16" t="inlineStr">
        <is>
          <t>ARQUITETURA DE SOFTWARE</t>
        </is>
      </c>
      <c r="E351" s="17" t="inlineStr">
        <is>
          <t>REVISÃO 30 DIAS</t>
        </is>
      </c>
      <c r="F351" s="16" t="inlineStr">
        <is>
          <t>Refatoração, modernização e componentização de software</t>
        </is>
      </c>
      <c r="G351" s="17" t="inlineStr"/>
      <c r="H351" s="17" t="n"/>
      <c r="I351" s="17" t="n"/>
      <c r="J351" s="35" t="inlineStr">
        <is>
          <t>A FAZER</t>
        </is>
      </c>
    </row>
    <row r="352">
      <c r="A352" s="52" t="n">
        <v>46355</v>
      </c>
      <c r="B352" s="4" t="inlineStr">
        <is>
          <t>Domingo</t>
        </is>
      </c>
      <c r="C352" s="4" t="n">
        <v>350</v>
      </c>
      <c r="D352" s="14" t="inlineStr">
        <is>
          <t>QUALIDADE DE SOFTWARE</t>
        </is>
      </c>
      <c r="E352" s="15" t="inlineStr">
        <is>
          <t>REVISÃO 15 DIAS</t>
        </is>
      </c>
      <c r="F352" s="14" t="inlineStr">
        <is>
          <t>Gerência de configuração de software (Git)</t>
        </is>
      </c>
      <c r="G352" s="15" t="inlineStr"/>
      <c r="H352" s="15" t="n"/>
      <c r="I352" s="15" t="n"/>
      <c r="J352" s="35" t="inlineStr">
        <is>
          <t>A FAZER</t>
        </is>
      </c>
    </row>
    <row r="353">
      <c r="A353" s="52" t="n">
        <v>46355</v>
      </c>
      <c r="B353" s="4" t="inlineStr">
        <is>
          <t>Domingo</t>
        </is>
      </c>
      <c r="C353" s="4" t="n">
        <v>351</v>
      </c>
      <c r="D353" s="14" t="inlineStr">
        <is>
          <t>ESTRUTURA DE DADOS E ALGORITMOS</t>
        </is>
      </c>
      <c r="E353" s="15" t="inlineStr">
        <is>
          <t>REVISÃO 15 DIAS</t>
        </is>
      </c>
      <c r="F353" s="14" t="inlineStr">
        <is>
          <t>Listas lineares, encadeadas, vetores e matrizes</t>
        </is>
      </c>
      <c r="G353" s="15" t="inlineStr"/>
      <c r="H353" s="15" t="n"/>
      <c r="I353" s="15" t="n"/>
      <c r="J353" s="35" t="inlineStr">
        <is>
          <t>A FAZER</t>
        </is>
      </c>
    </row>
    <row r="354">
      <c r="A354" s="52" t="n">
        <v>46355</v>
      </c>
      <c r="B354" s="4" t="inlineStr">
        <is>
          <t>Domingo</t>
        </is>
      </c>
      <c r="C354" s="4" t="n">
        <v>352</v>
      </c>
      <c r="D354" s="12" t="inlineStr">
        <is>
          <t>ARQUITETURA / BANCO DE DADOS</t>
        </is>
      </c>
      <c r="E354" s="13" t="inlineStr">
        <is>
          <t>REVISÃO 7 DIAS</t>
        </is>
      </c>
      <c r="F354" s="12" t="inlineStr">
        <is>
          <t>Modelagem de dados: conceitual, lógica e física</t>
        </is>
      </c>
      <c r="G354" s="13" t="inlineStr"/>
      <c r="H354" s="13" t="n"/>
      <c r="I354" s="13" t="n"/>
      <c r="J354" s="35" t="inlineStr">
        <is>
          <t>A FAZER</t>
        </is>
      </c>
    </row>
    <row r="355">
      <c r="A355" s="52" t="n">
        <v>46355</v>
      </c>
      <c r="B355" s="4" t="inlineStr">
        <is>
          <t>Domingo</t>
        </is>
      </c>
      <c r="C355" s="4" t="n">
        <v>353</v>
      </c>
      <c r="D355" s="8" t="inlineStr">
        <is>
          <t>LINGUAGENS DE PROGRAMAÇÃO</t>
        </is>
      </c>
      <c r="E355" s="9" t="inlineStr">
        <is>
          <t>REVISÃO 24H</t>
        </is>
      </c>
      <c r="F355" s="8" t="inlineStr">
        <is>
          <t>Tratamento de exceções e anotações</t>
        </is>
      </c>
      <c r="G355" s="9" t="inlineStr"/>
      <c r="H355" s="9" t="n"/>
      <c r="I355" s="9" t="n"/>
      <c r="J355" s="35" t="inlineStr">
        <is>
          <t>A FAZER</t>
        </is>
      </c>
    </row>
    <row r="356">
      <c r="A356" s="52" t="n">
        <v>46355</v>
      </c>
      <c r="B356" s="4" t="inlineStr">
        <is>
          <t>Domingo</t>
        </is>
      </c>
      <c r="C356" s="4" t="n">
        <v>354</v>
      </c>
      <c r="D356" s="8" t="inlineStr">
        <is>
          <t>QUALIDADE DE SOFTWARE</t>
        </is>
      </c>
      <c r="E356" s="9" t="inlineStr">
        <is>
          <t>REVISÃO 24H</t>
        </is>
      </c>
      <c r="F356" s="8" t="inlineStr">
        <is>
          <t>Conceitos básicos de auditoria de sistemas</t>
        </is>
      </c>
      <c r="G356" s="9" t="inlineStr"/>
      <c r="H356" s="9" t="n"/>
      <c r="I356" s="9" t="n"/>
      <c r="J356" s="35" t="inlineStr">
        <is>
          <t>A FAZER</t>
        </is>
      </c>
    </row>
    <row r="357">
      <c r="A357" s="53" t="n">
        <v>46356</v>
      </c>
      <c r="B357" s="6" t="inlineStr">
        <is>
          <t>Segunda</t>
        </is>
      </c>
      <c r="C357" s="6" t="n">
        <v>355</v>
      </c>
      <c r="D357" s="5" t="inlineStr">
        <is>
          <t>SEGURANÇA DA INFORMAÇÃO</t>
        </is>
      </c>
      <c r="E357" s="6" t="inlineStr">
        <is>
          <t>ESTUDO</t>
        </is>
      </c>
      <c r="F357" s="5" t="inlineStr">
        <is>
          <t>Gestão de identidade e acesso (autenticação, autorização, auditoria)</t>
        </is>
      </c>
      <c r="G357" s="6" t="n">
        <v>120</v>
      </c>
      <c r="H357" s="6" t="n"/>
      <c r="I357" s="6" t="n"/>
      <c r="J357" s="35" t="inlineStr">
        <is>
          <t>A FAZER</t>
        </is>
      </c>
    </row>
    <row r="358">
      <c r="A358" s="53" t="n">
        <v>46356</v>
      </c>
      <c r="B358" s="6" t="inlineStr">
        <is>
          <t>Segunda</t>
        </is>
      </c>
      <c r="C358" s="6" t="n">
        <v>356</v>
      </c>
      <c r="D358" s="16" t="inlineStr">
        <is>
          <t>LINGUAGENS DE PROGRAMAÇÃO</t>
        </is>
      </c>
      <c r="E358" s="17" t="inlineStr">
        <is>
          <t>REVISÃO 30 DIAS</t>
        </is>
      </c>
      <c r="F358" s="16" t="inlineStr">
        <is>
          <t>Python 3.7+ (sintaxe, estruturas, boas práticas)</t>
        </is>
      </c>
      <c r="G358" s="17" t="inlineStr"/>
      <c r="H358" s="17" t="n"/>
      <c r="I358" s="17" t="n"/>
      <c r="J358" s="35" t="inlineStr">
        <is>
          <t>A FAZER</t>
        </is>
      </c>
    </row>
    <row r="359">
      <c r="A359" s="53" t="n">
        <v>46356</v>
      </c>
      <c r="B359" s="6" t="inlineStr">
        <is>
          <t>Segunda</t>
        </is>
      </c>
      <c r="C359" s="6" t="n">
        <v>357</v>
      </c>
      <c r="D359" s="16" t="inlineStr">
        <is>
          <t>QUALIDADE DE SOFTWARE</t>
        </is>
      </c>
      <c r="E359" s="17" t="inlineStr">
        <is>
          <t>REVISÃO 30 DIAS</t>
        </is>
      </c>
      <c r="F359" s="16" t="inlineStr">
        <is>
          <t>Testes de desempenho, carga e vulnerabilidade</t>
        </is>
      </c>
      <c r="G359" s="17" t="inlineStr"/>
      <c r="H359" s="17" t="n"/>
      <c r="I359" s="17" t="n"/>
      <c r="J359" s="35" t="inlineStr">
        <is>
          <t>A FAZER</t>
        </is>
      </c>
    </row>
    <row r="360">
      <c r="A360" s="53" t="n">
        <v>46356</v>
      </c>
      <c r="B360" s="6" t="inlineStr">
        <is>
          <t>Segunda</t>
        </is>
      </c>
      <c r="C360" s="6" t="n">
        <v>358</v>
      </c>
      <c r="D360" s="12" t="inlineStr">
        <is>
          <t>DIREITO CONSTITUCIONAL</t>
        </is>
      </c>
      <c r="E360" s="13" t="inlineStr">
        <is>
          <t>REVISÃO 7 DIAS</t>
        </is>
      </c>
      <c r="F360" s="12" t="inlineStr">
        <is>
          <t>Organização do Estado e dos Poderes</t>
        </is>
      </c>
      <c r="G360" s="13" t="inlineStr"/>
      <c r="H360" s="13" t="n"/>
      <c r="I360" s="13" t="n"/>
      <c r="J360" s="35" t="inlineStr">
        <is>
          <t>A FAZER</t>
        </is>
      </c>
    </row>
    <row r="361">
      <c r="A361" s="53" t="n">
        <v>46356</v>
      </c>
      <c r="B361" s="6" t="inlineStr">
        <is>
          <t>Segunda</t>
        </is>
      </c>
      <c r="C361" s="6" t="n">
        <v>359</v>
      </c>
      <c r="D361" s="8" t="inlineStr">
        <is>
          <t>ESTRUTURA DE DADOS E ALGORITMOS</t>
        </is>
      </c>
      <c r="E361" s="9" t="inlineStr">
        <is>
          <t>REVISÃO 24H</t>
        </is>
      </c>
      <c r="F361" s="8" t="inlineStr">
        <is>
          <t>Tipos básicos e abstratos de dados (lista, fila, pilha, árvore)</t>
        </is>
      </c>
      <c r="G361" s="9" t="inlineStr"/>
      <c r="H361" s="9" t="n"/>
      <c r="I361" s="9" t="n"/>
      <c r="J361" s="35" t="inlineStr">
        <is>
          <t>A FAZER</t>
        </is>
      </c>
    </row>
    <row r="362">
      <c r="A362" s="52" t="n">
        <v>46357</v>
      </c>
      <c r="B362" s="4" t="inlineStr">
        <is>
          <t>Terça</t>
        </is>
      </c>
      <c r="C362" s="4" t="n">
        <v>360</v>
      </c>
      <c r="D362" s="5" t="inlineStr">
        <is>
          <t>ENGENHARIA DE SOFTWARE</t>
        </is>
      </c>
      <c r="E362" s="6" t="inlineStr">
        <is>
          <t>ESTUDO</t>
        </is>
      </c>
      <c r="F362" s="5" t="inlineStr">
        <is>
          <t>Diagrama Entidade-Relacionamento (ER) e modelagem</t>
        </is>
      </c>
      <c r="G362" s="6" t="n">
        <v>120</v>
      </c>
      <c r="H362" s="6" t="n"/>
      <c r="I362" s="6" t="n"/>
      <c r="J362" s="35" t="inlineStr">
        <is>
          <t>A FAZER</t>
        </is>
      </c>
    </row>
    <row r="363">
      <c r="A363" s="52" t="n">
        <v>46357</v>
      </c>
      <c r="B363" s="4" t="inlineStr">
        <is>
          <t>Terça</t>
        </is>
      </c>
      <c r="C363" s="4" t="n">
        <v>361</v>
      </c>
      <c r="D363" s="16" t="inlineStr">
        <is>
          <t>ESTRUTURA DE DADOS E ALGORITMOS</t>
        </is>
      </c>
      <c r="E363" s="17" t="inlineStr">
        <is>
          <t>REVISÃO 30 DIAS</t>
        </is>
      </c>
      <c r="F363" s="16" t="inlineStr">
        <is>
          <t>Sub-rotinas: chamada por endereço, referência e valor</t>
        </is>
      </c>
      <c r="G363" s="17" t="inlineStr"/>
      <c r="H363" s="17" t="n"/>
      <c r="I363" s="17" t="n"/>
      <c r="J363" s="35" t="inlineStr">
        <is>
          <t>A FAZER</t>
        </is>
      </c>
    </row>
    <row r="364">
      <c r="A364" s="52" t="n">
        <v>46357</v>
      </c>
      <c r="B364" s="4" t="inlineStr">
        <is>
          <t>Terça</t>
        </is>
      </c>
      <c r="C364" s="4" t="n">
        <v>362</v>
      </c>
      <c r="D364" s="14" t="inlineStr">
        <is>
          <t>ARQUITETURA / BANCO DE DADOS</t>
        </is>
      </c>
      <c r="E364" s="15" t="inlineStr">
        <is>
          <t>REVISÃO 15 DIAS</t>
        </is>
      </c>
      <c r="F364" s="14" t="inlineStr">
        <is>
          <t>Manipulação de dados em planilhas; bases multidimensionais</t>
        </is>
      </c>
      <c r="G364" s="15" t="inlineStr"/>
      <c r="H364" s="15" t="n"/>
      <c r="I364" s="15" t="n"/>
      <c r="J364" s="35" t="inlineStr">
        <is>
          <t>A FAZER</t>
        </is>
      </c>
    </row>
    <row r="365">
      <c r="A365" s="52" t="n">
        <v>46357</v>
      </c>
      <c r="B365" s="4" t="inlineStr">
        <is>
          <t>Terça</t>
        </is>
      </c>
      <c r="C365" s="4" t="n">
        <v>363</v>
      </c>
      <c r="D365" s="12" t="inlineStr">
        <is>
          <t>DIREITO ADMINISTRATIVO</t>
        </is>
      </c>
      <c r="E365" s="13" t="inlineStr">
        <is>
          <t>REVISÃO 7 DIAS</t>
        </is>
      </c>
      <c r="F365" s="12" t="inlineStr">
        <is>
          <t>Improbidade Administrativa</t>
        </is>
      </c>
      <c r="G365" s="13" t="inlineStr"/>
      <c r="H365" s="13" t="n"/>
      <c r="I365" s="13" t="n"/>
      <c r="J365" s="35" t="inlineStr">
        <is>
          <t>A FAZER</t>
        </is>
      </c>
    </row>
    <row r="366">
      <c r="A366" s="52" t="n">
        <v>46357</v>
      </c>
      <c r="B366" s="4" t="inlineStr">
        <is>
          <t>Terça</t>
        </is>
      </c>
      <c r="C366" s="4" t="n">
        <v>364</v>
      </c>
      <c r="D366" s="8" t="inlineStr">
        <is>
          <t>SEGURANÇA DA INFORMAÇÃO</t>
        </is>
      </c>
      <c r="E366" s="9" t="inlineStr">
        <is>
          <t>REVISÃO 24H</t>
        </is>
      </c>
      <c r="F366" s="8" t="inlineStr">
        <is>
          <t>Gestão de identidade e acesso (autenticação, autorização, auditoria)</t>
        </is>
      </c>
      <c r="G366" s="9" t="inlineStr"/>
      <c r="H366" s="9" t="n"/>
      <c r="I366" s="9" t="n"/>
      <c r="J366" s="35" t="inlineStr">
        <is>
          <t>A FAZER</t>
        </is>
      </c>
    </row>
    <row r="367">
      <c r="A367" s="53" t="n">
        <v>46358</v>
      </c>
      <c r="B367" s="6" t="inlineStr">
        <is>
          <t>Quarta</t>
        </is>
      </c>
      <c r="C367" s="6" t="n">
        <v>365</v>
      </c>
      <c r="D367" s="5" t="inlineStr">
        <is>
          <t>ARQUITETURA DE SOFTWARE</t>
        </is>
      </c>
      <c r="E367" s="6" t="inlineStr">
        <is>
          <t>ESTUDO</t>
        </is>
      </c>
      <c r="F367" s="5" t="inlineStr">
        <is>
          <t>Frameworks de persistência (ORM); serviços de mensageria</t>
        </is>
      </c>
      <c r="G367" s="6" t="n">
        <v>120</v>
      </c>
      <c r="H367" s="6" t="n"/>
      <c r="I367" s="6" t="n"/>
      <c r="J367" s="35" t="inlineStr">
        <is>
          <t>A FAZER</t>
        </is>
      </c>
    </row>
    <row r="368">
      <c r="A368" s="53" t="n">
        <v>46358</v>
      </c>
      <c r="B368" s="6" t="inlineStr">
        <is>
          <t>Quarta</t>
        </is>
      </c>
      <c r="C368" s="6" t="n">
        <v>366</v>
      </c>
      <c r="D368" s="14" t="inlineStr">
        <is>
          <t>SEGURANÇA DA INFORMAÇÃO</t>
        </is>
      </c>
      <c r="E368" s="15" t="inlineStr">
        <is>
          <t>REVISÃO 15 DIAS</t>
        </is>
      </c>
      <c r="F368" s="14" t="inlineStr">
        <is>
          <t>SSO (Single Sign-On) e Autenticação Multifator (MFA)</t>
        </is>
      </c>
      <c r="G368" s="15" t="inlineStr"/>
      <c r="H368" s="15" t="n"/>
      <c r="I368" s="15" t="n"/>
      <c r="J368" s="35" t="inlineStr">
        <is>
          <t>A FAZER</t>
        </is>
      </c>
    </row>
    <row r="369">
      <c r="A369" s="53" t="n">
        <v>46358</v>
      </c>
      <c r="B369" s="6" t="inlineStr">
        <is>
          <t>Quarta</t>
        </is>
      </c>
      <c r="C369" s="6" t="n">
        <v>367</v>
      </c>
      <c r="D369" s="12" t="inlineStr">
        <is>
          <t>LEGISLAÇÃO INSTITUCIONAL MP</t>
        </is>
      </c>
      <c r="E369" s="13" t="inlineStr">
        <is>
          <t>REVISÃO 7 DIAS</t>
        </is>
      </c>
      <c r="F369" s="12" t="inlineStr">
        <is>
          <t>Lei Orgânica Nacional do MP (Lei 8.625/93)</t>
        </is>
      </c>
      <c r="G369" s="13" t="inlineStr"/>
      <c r="H369" s="13" t="n"/>
      <c r="I369" s="13" t="n"/>
      <c r="J369" s="35" t="inlineStr">
        <is>
          <t>A FAZER</t>
        </is>
      </c>
    </row>
    <row r="370">
      <c r="A370" s="53" t="n">
        <v>46358</v>
      </c>
      <c r="B370" s="6" t="inlineStr">
        <is>
          <t>Quarta</t>
        </is>
      </c>
      <c r="C370" s="6" t="n">
        <v>368</v>
      </c>
      <c r="D370" s="8" t="inlineStr">
        <is>
          <t>ENGENHARIA DE SOFTWARE</t>
        </is>
      </c>
      <c r="E370" s="9" t="inlineStr">
        <is>
          <t>REVISÃO 24H</t>
        </is>
      </c>
      <c r="F370" s="8" t="inlineStr">
        <is>
          <t>Diagrama Entidade-Relacionamento (ER) e modelagem</t>
        </is>
      </c>
      <c r="G370" s="9" t="inlineStr"/>
      <c r="H370" s="9" t="n"/>
      <c r="I370" s="9" t="n"/>
      <c r="J370" s="35" t="inlineStr">
        <is>
          <t>A FAZER</t>
        </is>
      </c>
    </row>
    <row r="371">
      <c r="A371" s="52" t="n">
        <v>46359</v>
      </c>
      <c r="B371" s="4" t="inlineStr">
        <is>
          <t>Quinta</t>
        </is>
      </c>
      <c r="C371" s="4" t="n">
        <v>369</v>
      </c>
      <c r="D371" s="5" t="inlineStr">
        <is>
          <t>LINGUAGENS DE PROGRAMAÇÃO</t>
        </is>
      </c>
      <c r="E371" s="6" t="inlineStr">
        <is>
          <t>ESTUDO</t>
        </is>
      </c>
      <c r="F371" s="5" t="inlineStr">
        <is>
          <t>HTML5, CSS3 e JavaScript</t>
        </is>
      </c>
      <c r="G371" s="6" t="n">
        <v>120</v>
      </c>
      <c r="H371" s="6" t="n"/>
      <c r="I371" s="6" t="n"/>
      <c r="J371" s="35" t="inlineStr">
        <is>
          <t>A FAZER</t>
        </is>
      </c>
    </row>
    <row r="372">
      <c r="A372" s="52" t="n">
        <v>46359</v>
      </c>
      <c r="B372" s="4" t="inlineStr">
        <is>
          <t>Quinta</t>
        </is>
      </c>
      <c r="C372" s="4" t="n">
        <v>370</v>
      </c>
      <c r="D372" s="16" t="inlineStr">
        <is>
          <t>SEGURANÇA DA INFORMAÇÃO</t>
        </is>
      </c>
      <c r="E372" s="17" t="inlineStr">
        <is>
          <t>REVISÃO 30 DIAS</t>
        </is>
      </c>
      <c r="F372" s="16" t="inlineStr">
        <is>
          <t>Desenvolvimento seguro: SAST / DAST / IAST</t>
        </is>
      </c>
      <c r="G372" s="17" t="inlineStr"/>
      <c r="H372" s="17" t="n"/>
      <c r="I372" s="17" t="n"/>
      <c r="J372" s="35" t="inlineStr">
        <is>
          <t>A FAZER</t>
        </is>
      </c>
    </row>
    <row r="373">
      <c r="A373" s="52" t="n">
        <v>46359</v>
      </c>
      <c r="B373" s="4" t="inlineStr">
        <is>
          <t>Quinta</t>
        </is>
      </c>
      <c r="C373" s="4" t="n">
        <v>371</v>
      </c>
      <c r="D373" s="14" t="inlineStr">
        <is>
          <t>ENGENHARIA DE SOFTWARE</t>
        </is>
      </c>
      <c r="E373" s="15" t="inlineStr">
        <is>
          <t>REVISÃO 15 DIAS</t>
        </is>
      </c>
      <c r="F373" s="14" t="inlineStr">
        <is>
          <t>Gerenciamento de ciclo de vida de aplicações; Integração contínua</t>
        </is>
      </c>
      <c r="G373" s="15" t="inlineStr"/>
      <c r="H373" s="15" t="n"/>
      <c r="I373" s="15" t="n"/>
      <c r="J373" s="35" t="inlineStr">
        <is>
          <t>A FAZER</t>
        </is>
      </c>
    </row>
    <row r="374">
      <c r="A374" s="52" t="n">
        <v>46359</v>
      </c>
      <c r="B374" s="4" t="inlineStr">
        <is>
          <t>Quinta</t>
        </is>
      </c>
      <c r="C374" s="4" t="n">
        <v>372</v>
      </c>
      <c r="D374" s="12" t="inlineStr">
        <is>
          <t>ENGENHARIA DE SOFTWARE</t>
        </is>
      </c>
      <c r="E374" s="13" t="inlineStr">
        <is>
          <t>REVISÃO 7 DIAS</t>
        </is>
      </c>
      <c r="F374" s="12" t="inlineStr">
        <is>
          <t>Requisitos: elicitação, histórias de usuário, MVP, prototipação, personas</t>
        </is>
      </c>
      <c r="G374" s="13" t="inlineStr"/>
      <c r="H374" s="13" t="n"/>
      <c r="I374" s="13" t="n"/>
      <c r="J374" s="35" t="inlineStr">
        <is>
          <t>A FAZER</t>
        </is>
      </c>
    </row>
    <row r="375">
      <c r="A375" s="52" t="n">
        <v>46359</v>
      </c>
      <c r="B375" s="4" t="inlineStr">
        <is>
          <t>Quinta</t>
        </is>
      </c>
      <c r="C375" s="4" t="n">
        <v>373</v>
      </c>
      <c r="D375" s="8" t="inlineStr">
        <is>
          <t>ARQUITETURA DE SOFTWARE</t>
        </is>
      </c>
      <c r="E375" s="9" t="inlineStr">
        <is>
          <t>REVISÃO 24H</t>
        </is>
      </c>
      <c r="F375" s="8" t="inlineStr">
        <is>
          <t>Frameworks de persistência (ORM); serviços de mensageria</t>
        </is>
      </c>
      <c r="G375" s="9" t="inlineStr"/>
      <c r="H375" s="9" t="n"/>
      <c r="I375" s="9" t="n"/>
      <c r="J375" s="35" t="inlineStr">
        <is>
          <t>A FAZER</t>
        </is>
      </c>
    </row>
    <row r="376">
      <c r="A376" s="53" t="n">
        <v>46360</v>
      </c>
      <c r="B376" s="6" t="inlineStr">
        <is>
          <t>Sexta</t>
        </is>
      </c>
      <c r="C376" s="6" t="n">
        <v>374</v>
      </c>
      <c r="D376" s="5" t="inlineStr">
        <is>
          <t>ESTRUTURA DE DADOS E ALGORITMOS</t>
        </is>
      </c>
      <c r="E376" s="6" t="inlineStr">
        <is>
          <t>ESTUDO</t>
        </is>
      </c>
      <c r="F376" s="5" t="inlineStr">
        <is>
          <t>Sub-rotinas: chamada por endereço, referência e valor</t>
        </is>
      </c>
      <c r="G376" s="6" t="n">
        <v>120</v>
      </c>
      <c r="H376" s="6" t="n"/>
      <c r="I376" s="6" t="n"/>
      <c r="J376" s="35" t="inlineStr">
        <is>
          <t>A FAZER</t>
        </is>
      </c>
    </row>
    <row r="377">
      <c r="A377" s="53" t="n">
        <v>46360</v>
      </c>
      <c r="B377" s="6" t="inlineStr">
        <is>
          <t>Sexta</t>
        </is>
      </c>
      <c r="C377" s="6" t="n">
        <v>375</v>
      </c>
      <c r="D377" s="16" t="inlineStr">
        <is>
          <t>ENGENHARIA DE SOFTWARE</t>
        </is>
      </c>
      <c r="E377" s="17" t="inlineStr">
        <is>
          <t>REVISÃO 30 DIAS</t>
        </is>
      </c>
      <c r="F377" s="16" t="inlineStr">
        <is>
          <t>Ciclo de vida e metodologias de desenvolvimento (cascata, ágil)</t>
        </is>
      </c>
      <c r="G377" s="17" t="inlineStr"/>
      <c r="H377" s="17" t="n"/>
      <c r="I377" s="17" t="n"/>
      <c r="J377" s="35" t="inlineStr">
        <is>
          <t>A FAZER</t>
        </is>
      </c>
    </row>
    <row r="378">
      <c r="A378" s="53" t="n">
        <v>46360</v>
      </c>
      <c r="B378" s="6" t="inlineStr">
        <is>
          <t>Sexta</t>
        </is>
      </c>
      <c r="C378" s="6" t="n">
        <v>376</v>
      </c>
      <c r="D378" s="14" t="inlineStr">
        <is>
          <t>ARQUITETURA DE SOFTWARE</t>
        </is>
      </c>
      <c r="E378" s="15" t="inlineStr">
        <is>
          <t>REVISÃO 15 DIAS</t>
        </is>
      </c>
      <c r="F378" s="14" t="inlineStr">
        <is>
          <t>Padrões de projeto (design patterns) e anti-patterns</t>
        </is>
      </c>
      <c r="G378" s="15" t="inlineStr"/>
      <c r="H378" s="15" t="n"/>
      <c r="I378" s="15" t="n"/>
      <c r="J378" s="35" t="inlineStr">
        <is>
          <t>A FAZER</t>
        </is>
      </c>
    </row>
    <row r="379">
      <c r="A379" s="53" t="n">
        <v>46360</v>
      </c>
      <c r="B379" s="6" t="inlineStr">
        <is>
          <t>Sexta</t>
        </is>
      </c>
      <c r="C379" s="6" t="n">
        <v>377</v>
      </c>
      <c r="D379" s="12" t="inlineStr">
        <is>
          <t>ARQUITETURA DE SOFTWARE</t>
        </is>
      </c>
      <c r="E379" s="13" t="inlineStr">
        <is>
          <t>REVISÃO 7 DIAS</t>
        </is>
      </c>
      <c r="F379" s="12" t="inlineStr">
        <is>
          <t>Conteinerização; servidores de aplicação</t>
        </is>
      </c>
      <c r="G379" s="13" t="inlineStr"/>
      <c r="H379" s="13" t="n"/>
      <c r="I379" s="13" t="n"/>
      <c r="J379" s="35" t="inlineStr">
        <is>
          <t>A FAZER</t>
        </is>
      </c>
    </row>
    <row r="380">
      <c r="A380" s="53" t="n">
        <v>46360</v>
      </c>
      <c r="B380" s="6" t="inlineStr">
        <is>
          <t>Sexta</t>
        </is>
      </c>
      <c r="C380" s="6" t="n">
        <v>378</v>
      </c>
      <c r="D380" s="8" t="inlineStr">
        <is>
          <t>LINGUAGENS DE PROGRAMAÇÃO</t>
        </is>
      </c>
      <c r="E380" s="9" t="inlineStr">
        <is>
          <t>REVISÃO 24H</t>
        </is>
      </c>
      <c r="F380" s="8" t="inlineStr">
        <is>
          <t>HTML5, CSS3 e JavaScript</t>
        </is>
      </c>
      <c r="G380" s="9" t="inlineStr"/>
      <c r="H380" s="9" t="n"/>
      <c r="I380" s="9" t="n"/>
      <c r="J380" s="35" t="inlineStr">
        <is>
          <t>A FAZER</t>
        </is>
      </c>
    </row>
    <row r="381">
      <c r="A381" s="52" t="n">
        <v>46361</v>
      </c>
      <c r="B381" s="4" t="inlineStr">
        <is>
          <t>Sábado</t>
        </is>
      </c>
      <c r="C381" s="4" t="n">
        <v>379</v>
      </c>
      <c r="D381" s="5" t="inlineStr">
        <is>
          <t>ARQUITETURA / BANCO DE DADOS</t>
        </is>
      </c>
      <c r="E381" s="6" t="inlineStr">
        <is>
          <t>ESTUDO</t>
        </is>
      </c>
      <c r="F381" s="5" t="inlineStr">
        <is>
          <t>Normalização, integridade referencial e metadados</t>
        </is>
      </c>
      <c r="G381" s="6" t="n">
        <v>120</v>
      </c>
      <c r="H381" s="6" t="n"/>
      <c r="I381" s="6" t="n"/>
      <c r="J381" s="35" t="inlineStr">
        <is>
          <t>A FAZER</t>
        </is>
      </c>
    </row>
    <row r="382">
      <c r="A382" s="52" t="n">
        <v>46361</v>
      </c>
      <c r="B382" s="4" t="inlineStr">
        <is>
          <t>Sábado</t>
        </is>
      </c>
      <c r="C382" s="4" t="n">
        <v>380</v>
      </c>
      <c r="D382" s="5" t="inlineStr">
        <is>
          <t>LÍNGUA PORTUGUESA</t>
        </is>
      </c>
      <c r="E382" s="6" t="inlineStr">
        <is>
          <t>ESTUDO</t>
        </is>
      </c>
      <c r="F382" s="5" t="inlineStr">
        <is>
          <t>Sintaxe (período simples e composto); concordância e regência</t>
        </is>
      </c>
      <c r="G382" s="6" t="n">
        <v>120</v>
      </c>
      <c r="H382" s="6" t="n"/>
      <c r="I382" s="6" t="n"/>
      <c r="J382" s="35" t="inlineStr">
        <is>
          <t>A FAZER</t>
        </is>
      </c>
    </row>
    <row r="383">
      <c r="A383" s="52" t="n">
        <v>46361</v>
      </c>
      <c r="B383" s="4" t="inlineStr">
        <is>
          <t>Sábado</t>
        </is>
      </c>
      <c r="C383" s="4" t="n">
        <v>381</v>
      </c>
      <c r="D383" s="16" t="inlineStr">
        <is>
          <t>ARQUITETURA DE SOFTWARE</t>
        </is>
      </c>
      <c r="E383" s="17" t="inlineStr">
        <is>
          <t>REVISÃO 30 DIAS</t>
        </is>
      </c>
      <c r="F383" s="16" t="inlineStr">
        <is>
          <t>Padrão MVC; Microsserviços; Arquitetura orientada a eventos</t>
        </is>
      </c>
      <c r="G383" s="17" t="inlineStr"/>
      <c r="H383" s="17" t="n"/>
      <c r="I383" s="17" t="n"/>
      <c r="J383" s="35" t="inlineStr">
        <is>
          <t>A FAZER</t>
        </is>
      </c>
    </row>
    <row r="384">
      <c r="A384" s="52" t="n">
        <v>46361</v>
      </c>
      <c r="B384" s="4" t="inlineStr">
        <is>
          <t>Sábado</t>
        </is>
      </c>
      <c r="C384" s="4" t="n">
        <v>382</v>
      </c>
      <c r="D384" s="12" t="inlineStr">
        <is>
          <t>LINGUAGENS DE PROGRAMAÇÃO</t>
        </is>
      </c>
      <c r="E384" s="13" t="inlineStr">
        <is>
          <t>REVISÃO 7 DIAS</t>
        </is>
      </c>
      <c r="F384" s="12" t="inlineStr">
        <is>
          <t>Tratamento de exceções e anotações</t>
        </is>
      </c>
      <c r="G384" s="13" t="inlineStr"/>
      <c r="H384" s="13" t="n"/>
      <c r="I384" s="13" t="n"/>
      <c r="J384" s="35" t="inlineStr">
        <is>
          <t>A FAZER</t>
        </is>
      </c>
    </row>
    <row r="385">
      <c r="A385" s="52" t="n">
        <v>46361</v>
      </c>
      <c r="B385" s="4" t="inlineStr">
        <is>
          <t>Sábado</t>
        </is>
      </c>
      <c r="C385" s="4" t="n">
        <v>383</v>
      </c>
      <c r="D385" s="12" t="inlineStr">
        <is>
          <t>QUALIDADE DE SOFTWARE</t>
        </is>
      </c>
      <c r="E385" s="13" t="inlineStr">
        <is>
          <t>REVISÃO 7 DIAS</t>
        </is>
      </c>
      <c r="F385" s="12" t="inlineStr">
        <is>
          <t>Conceitos básicos de auditoria de sistemas</t>
        </is>
      </c>
      <c r="G385" s="13" t="inlineStr"/>
      <c r="H385" s="13" t="n"/>
      <c r="I385" s="13" t="n"/>
      <c r="J385" s="35" t="inlineStr">
        <is>
          <t>A FAZER</t>
        </is>
      </c>
    </row>
    <row r="386">
      <c r="A386" s="52" t="n">
        <v>46361</v>
      </c>
      <c r="B386" s="4" t="inlineStr">
        <is>
          <t>Sábado</t>
        </is>
      </c>
      <c r="C386" s="4" t="n">
        <v>384</v>
      </c>
      <c r="D386" s="8" t="inlineStr">
        <is>
          <t>ESTRUTURA DE DADOS E ALGORITMOS</t>
        </is>
      </c>
      <c r="E386" s="9" t="inlineStr">
        <is>
          <t>REVISÃO 24H</t>
        </is>
      </c>
      <c r="F386" s="8" t="inlineStr">
        <is>
          <t>Sub-rotinas: chamada por endereço, referência e valor</t>
        </is>
      </c>
      <c r="G386" s="9" t="inlineStr"/>
      <c r="H386" s="9" t="n"/>
      <c r="I386" s="9" t="n"/>
      <c r="J386" s="35" t="inlineStr">
        <is>
          <t>A FAZER</t>
        </is>
      </c>
    </row>
    <row r="387">
      <c r="A387" s="53" t="n">
        <v>46362</v>
      </c>
      <c r="B387" s="6" t="inlineStr">
        <is>
          <t>Domingo</t>
        </is>
      </c>
      <c r="C387" s="6" t="n">
        <v>385</v>
      </c>
      <c r="D387" s="5" t="inlineStr">
        <is>
          <t>DIREITO CONSTITUCIONAL</t>
        </is>
      </c>
      <c r="E387" s="6" t="inlineStr">
        <is>
          <t>ESTUDO</t>
        </is>
      </c>
      <c r="F387" s="5" t="inlineStr">
        <is>
          <t>Controle de Constitucionalidade</t>
        </is>
      </c>
      <c r="G387" s="6" t="n">
        <v>120</v>
      </c>
      <c r="H387" s="6" t="n"/>
      <c r="I387" s="6" t="n"/>
      <c r="J387" s="35" t="inlineStr">
        <is>
          <t>A FAZER</t>
        </is>
      </c>
    </row>
    <row r="388">
      <c r="A388" s="53" t="n">
        <v>46362</v>
      </c>
      <c r="B388" s="6" t="inlineStr">
        <is>
          <t>Domingo</t>
        </is>
      </c>
      <c r="C388" s="6" t="n">
        <v>386</v>
      </c>
      <c r="D388" s="10" t="inlineStr">
        <is>
          <t>DIREITO ADMINISTRATIVO</t>
        </is>
      </c>
      <c r="E388" s="11" t="inlineStr">
        <is>
          <t>SIMULADO</t>
        </is>
      </c>
      <c r="F388" s="10" t="inlineStr">
        <is>
          <t>Simulado misto (questões de todas as matérias da semana)</t>
        </is>
      </c>
      <c r="G388" s="11" t="n">
        <v>120</v>
      </c>
      <c r="H388" s="11" t="n"/>
      <c r="I388" s="11" t="n"/>
      <c r="J388" s="35" t="inlineStr">
        <is>
          <t>A FAZER</t>
        </is>
      </c>
    </row>
    <row r="389">
      <c r="A389" s="53" t="n">
        <v>46362</v>
      </c>
      <c r="B389" s="6" t="inlineStr">
        <is>
          <t>Domingo</t>
        </is>
      </c>
      <c r="C389" s="6" t="n">
        <v>387</v>
      </c>
      <c r="D389" s="16" t="inlineStr">
        <is>
          <t>LINGUAGENS DE PROGRAMAÇÃO</t>
        </is>
      </c>
      <c r="E389" s="17" t="inlineStr">
        <is>
          <t>REVISÃO 30 DIAS</t>
        </is>
      </c>
      <c r="F389" s="16" t="inlineStr">
        <is>
          <t>Java Core 8+ (sintaxe, streams, coleções)</t>
        </is>
      </c>
      <c r="G389" s="17" t="inlineStr"/>
      <c r="H389" s="17" t="n"/>
      <c r="I389" s="17" t="n"/>
      <c r="J389" s="35" t="inlineStr">
        <is>
          <t>A FAZER</t>
        </is>
      </c>
    </row>
    <row r="390">
      <c r="A390" s="53" t="n">
        <v>46362</v>
      </c>
      <c r="B390" s="6" t="inlineStr">
        <is>
          <t>Domingo</t>
        </is>
      </c>
      <c r="C390" s="6" t="n">
        <v>388</v>
      </c>
      <c r="D390" s="14" t="inlineStr">
        <is>
          <t>LINGUAGENS DE PROGRAMAÇÃO</t>
        </is>
      </c>
      <c r="E390" s="15" t="inlineStr">
        <is>
          <t>REVISÃO 15 DIAS</t>
        </is>
      </c>
      <c r="F390" s="14" t="inlineStr">
        <is>
          <t>Coleções, tipos genéricos, threads e escalonamento</t>
        </is>
      </c>
      <c r="G390" s="15" t="inlineStr"/>
      <c r="H390" s="15" t="n"/>
      <c r="I390" s="15" t="n"/>
      <c r="J390" s="35" t="inlineStr">
        <is>
          <t>A FAZER</t>
        </is>
      </c>
    </row>
    <row r="391">
      <c r="A391" s="53" t="n">
        <v>46362</v>
      </c>
      <c r="B391" s="6" t="inlineStr">
        <is>
          <t>Domingo</t>
        </is>
      </c>
      <c r="C391" s="6" t="n">
        <v>389</v>
      </c>
      <c r="D391" s="14" t="inlineStr">
        <is>
          <t>ESTRUTURA DE DADOS E ALGORITMOS</t>
        </is>
      </c>
      <c r="E391" s="15" t="inlineStr">
        <is>
          <t>REVISÃO 15 DIAS</t>
        </is>
      </c>
      <c r="F391" s="14" t="inlineStr">
        <is>
          <t>Programação recursiva</t>
        </is>
      </c>
      <c r="G391" s="15" t="inlineStr"/>
      <c r="H391" s="15" t="n"/>
      <c r="I391" s="15" t="n"/>
      <c r="J391" s="35" t="inlineStr">
        <is>
          <t>A FAZER</t>
        </is>
      </c>
    </row>
    <row r="392">
      <c r="A392" s="53" t="n">
        <v>46362</v>
      </c>
      <c r="B392" s="6" t="inlineStr">
        <is>
          <t>Domingo</t>
        </is>
      </c>
      <c r="C392" s="6" t="n">
        <v>390</v>
      </c>
      <c r="D392" s="12" t="inlineStr">
        <is>
          <t>ESTRUTURA DE DADOS E ALGORITMOS</t>
        </is>
      </c>
      <c r="E392" s="13" t="inlineStr">
        <is>
          <t>REVISÃO 7 DIAS</t>
        </is>
      </c>
      <c r="F392" s="12" t="inlineStr">
        <is>
          <t>Tipos básicos e abstratos de dados (lista, fila, pilha, árvore)</t>
        </is>
      </c>
      <c r="G392" s="13" t="inlineStr"/>
      <c r="H392" s="13" t="n"/>
      <c r="I392" s="13" t="n"/>
      <c r="J392" s="35" t="inlineStr">
        <is>
          <t>A FAZER</t>
        </is>
      </c>
    </row>
    <row r="393">
      <c r="A393" s="53" t="n">
        <v>46362</v>
      </c>
      <c r="B393" s="6" t="inlineStr">
        <is>
          <t>Domingo</t>
        </is>
      </c>
      <c r="C393" s="6" t="n">
        <v>391</v>
      </c>
      <c r="D393" s="8" t="inlineStr">
        <is>
          <t>ARQUITETURA / BANCO DE DADOS</t>
        </is>
      </c>
      <c r="E393" s="9" t="inlineStr">
        <is>
          <t>REVISÃO 24H</t>
        </is>
      </c>
      <c r="F393" s="8" t="inlineStr">
        <is>
          <t>Normalização, integridade referencial e metadados</t>
        </is>
      </c>
      <c r="G393" s="9" t="inlineStr"/>
      <c r="H393" s="9" t="n"/>
      <c r="I393" s="9" t="n"/>
      <c r="J393" s="35" t="inlineStr">
        <is>
          <t>A FAZER</t>
        </is>
      </c>
    </row>
    <row r="394">
      <c r="A394" s="53" t="n">
        <v>46362</v>
      </c>
      <c r="B394" s="6" t="inlineStr">
        <is>
          <t>Domingo</t>
        </is>
      </c>
      <c r="C394" s="6" t="n">
        <v>392</v>
      </c>
      <c r="D394" s="8" t="inlineStr">
        <is>
          <t>LÍNGUA PORTUGUESA</t>
        </is>
      </c>
      <c r="E394" s="9" t="inlineStr">
        <is>
          <t>REVISÃO 24H</t>
        </is>
      </c>
      <c r="F394" s="8" t="inlineStr">
        <is>
          <t>Sintaxe (período simples e composto); concordância e regência</t>
        </is>
      </c>
      <c r="G394" s="9" t="inlineStr"/>
      <c r="H394" s="9" t="n"/>
      <c r="I394" s="9" t="n"/>
      <c r="J394" s="35" t="inlineStr">
        <is>
          <t>A FAZER</t>
        </is>
      </c>
    </row>
    <row r="395">
      <c r="A395" s="52" t="n">
        <v>46363</v>
      </c>
      <c r="B395" s="4" t="inlineStr">
        <is>
          <t>Segunda</t>
        </is>
      </c>
      <c r="C395" s="4" t="n">
        <v>393</v>
      </c>
      <c r="D395" s="5" t="inlineStr">
        <is>
          <t>LEGISLAÇÃO INSTITUCIONAL MP</t>
        </is>
      </c>
      <c r="E395" s="6" t="inlineStr">
        <is>
          <t>ESTUDO</t>
        </is>
      </c>
      <c r="F395" s="5" t="inlineStr">
        <is>
          <t>Lei Orgânica do MPMS (LC Estadual 72/1994)</t>
        </is>
      </c>
      <c r="G395" s="6" t="n">
        <v>120</v>
      </c>
      <c r="H395" s="6" t="n"/>
      <c r="I395" s="6" t="n"/>
      <c r="J395" s="35" t="inlineStr">
        <is>
          <t>A FAZER</t>
        </is>
      </c>
    </row>
    <row r="396">
      <c r="A396" s="52" t="n">
        <v>46363</v>
      </c>
      <c r="B396" s="4" t="inlineStr">
        <is>
          <t>Segunda</t>
        </is>
      </c>
      <c r="C396" s="4" t="n">
        <v>394</v>
      </c>
      <c r="D396" s="16" t="inlineStr">
        <is>
          <t>ESTRUTURA DE DADOS E ALGORITMOS</t>
        </is>
      </c>
      <c r="E396" s="17" t="inlineStr">
        <is>
          <t>REVISÃO 30 DIAS</t>
        </is>
      </c>
      <c r="F396" s="16" t="inlineStr">
        <is>
          <t>Algoritmos de pesquisa e ordenação</t>
        </is>
      </c>
      <c r="G396" s="17" t="inlineStr"/>
      <c r="H396" s="17" t="n"/>
      <c r="I396" s="17" t="n"/>
      <c r="J396" s="35" t="inlineStr">
        <is>
          <t>A FAZER</t>
        </is>
      </c>
    </row>
    <row r="397">
      <c r="A397" s="52" t="n">
        <v>46363</v>
      </c>
      <c r="B397" s="4" t="inlineStr">
        <is>
          <t>Segunda</t>
        </is>
      </c>
      <c r="C397" s="4" t="n">
        <v>395</v>
      </c>
      <c r="D397" s="16" t="inlineStr">
        <is>
          <t>ARQUITETURA / BANCO DE DADOS</t>
        </is>
      </c>
      <c r="E397" s="17" t="inlineStr">
        <is>
          <t>REVISÃO 30 DIAS</t>
        </is>
      </c>
      <c r="F397" s="16" t="inlineStr">
        <is>
          <t>ETL e integração de dados; BI e mapeamento de fontes</t>
        </is>
      </c>
      <c r="G397" s="17" t="inlineStr"/>
      <c r="H397" s="17" t="n"/>
      <c r="I397" s="17" t="n"/>
      <c r="J397" s="35" t="inlineStr">
        <is>
          <t>A FAZER</t>
        </is>
      </c>
    </row>
    <row r="398">
      <c r="A398" s="52" t="n">
        <v>46363</v>
      </c>
      <c r="B398" s="4" t="inlineStr">
        <is>
          <t>Segunda</t>
        </is>
      </c>
      <c r="C398" s="4" t="n">
        <v>396</v>
      </c>
      <c r="D398" s="14" t="inlineStr">
        <is>
          <t>ARQUITETURA / BANCO DE DADOS</t>
        </is>
      </c>
      <c r="E398" s="15" t="inlineStr">
        <is>
          <t>REVISÃO 15 DIAS</t>
        </is>
      </c>
      <c r="F398" s="14" t="inlineStr">
        <is>
          <t>Modelagem de dados: conceitual, lógica e física</t>
        </is>
      </c>
      <c r="G398" s="15" t="inlineStr"/>
      <c r="H398" s="15" t="n"/>
      <c r="I398" s="15" t="n"/>
      <c r="J398" s="35" t="inlineStr">
        <is>
          <t>A FAZER</t>
        </is>
      </c>
    </row>
    <row r="399">
      <c r="A399" s="52" t="n">
        <v>46363</v>
      </c>
      <c r="B399" s="4" t="inlineStr">
        <is>
          <t>Segunda</t>
        </is>
      </c>
      <c r="C399" s="4" t="n">
        <v>397</v>
      </c>
      <c r="D399" s="12" t="inlineStr">
        <is>
          <t>SEGURANÇA DA INFORMAÇÃO</t>
        </is>
      </c>
      <c r="E399" s="13" t="inlineStr">
        <is>
          <t>REVISÃO 7 DIAS</t>
        </is>
      </c>
      <c r="F399" s="12" t="inlineStr">
        <is>
          <t>Gestão de identidade e acesso (autenticação, autorização, auditoria)</t>
        </is>
      </c>
      <c r="G399" s="13" t="inlineStr"/>
      <c r="H399" s="13" t="n"/>
      <c r="I399" s="13" t="n"/>
      <c r="J399" s="35" t="inlineStr">
        <is>
          <t>A FAZER</t>
        </is>
      </c>
    </row>
    <row r="400">
      <c r="A400" s="52" t="n">
        <v>46363</v>
      </c>
      <c r="B400" s="4" t="inlineStr">
        <is>
          <t>Segunda</t>
        </is>
      </c>
      <c r="C400" s="4" t="n">
        <v>398</v>
      </c>
      <c r="D400" s="8" t="inlineStr">
        <is>
          <t>DIREITO CONSTITUCIONAL</t>
        </is>
      </c>
      <c r="E400" s="9" t="inlineStr">
        <is>
          <t>REVISÃO 24H</t>
        </is>
      </c>
      <c r="F400" s="8" t="inlineStr">
        <is>
          <t>Controle de Constitucionalidade</t>
        </is>
      </c>
      <c r="G400" s="9" t="inlineStr"/>
      <c r="H400" s="9" t="n"/>
      <c r="I400" s="9" t="n"/>
      <c r="J400" s="35" t="inlineStr">
        <is>
          <t>A FAZER</t>
        </is>
      </c>
    </row>
    <row r="401">
      <c r="A401" s="53" t="n">
        <v>46364</v>
      </c>
      <c r="B401" s="6" t="inlineStr">
        <is>
          <t>Terça</t>
        </is>
      </c>
      <c r="C401" s="6" t="n">
        <v>399</v>
      </c>
      <c r="D401" s="5" t="inlineStr">
        <is>
          <t>ENGENHARIA DE SOFTWARE</t>
        </is>
      </c>
      <c r="E401" s="6" t="inlineStr">
        <is>
          <t>ESTUDO</t>
        </is>
      </c>
      <c r="F401" s="5" t="inlineStr">
        <is>
          <t>DevOps e CI/CD (conceitos e ferramentas)</t>
        </is>
      </c>
      <c r="G401" s="6" t="n">
        <v>120</v>
      </c>
      <c r="H401" s="6" t="n"/>
      <c r="I401" s="6" t="n"/>
      <c r="J401" s="35" t="inlineStr">
        <is>
          <t>A FAZER</t>
        </is>
      </c>
    </row>
    <row r="402">
      <c r="A402" s="53" t="n">
        <v>46364</v>
      </c>
      <c r="B402" s="6" t="inlineStr">
        <is>
          <t>Terça</t>
        </is>
      </c>
      <c r="C402" s="6" t="n">
        <v>400</v>
      </c>
      <c r="D402" s="16" t="inlineStr">
        <is>
          <t>LÍNGUA PORTUGUESA</t>
        </is>
      </c>
      <c r="E402" s="17" t="inlineStr">
        <is>
          <t>REVISÃO 30 DIAS</t>
        </is>
      </c>
      <c r="F402" s="16" t="inlineStr">
        <is>
          <t>Coesão e coerência textual; reescrita de frases</t>
        </is>
      </c>
      <c r="G402" s="17" t="inlineStr"/>
      <c r="H402" s="17" t="n"/>
      <c r="I402" s="17" t="n"/>
      <c r="J402" s="35" t="inlineStr">
        <is>
          <t>A FAZER</t>
        </is>
      </c>
    </row>
    <row r="403">
      <c r="A403" s="53" t="n">
        <v>46364</v>
      </c>
      <c r="B403" s="6" t="inlineStr">
        <is>
          <t>Terça</t>
        </is>
      </c>
      <c r="C403" s="6" t="n">
        <v>401</v>
      </c>
      <c r="D403" s="14" t="inlineStr">
        <is>
          <t>DIREITO CONSTITUCIONAL</t>
        </is>
      </c>
      <c r="E403" s="15" t="inlineStr">
        <is>
          <t>REVISÃO 15 DIAS</t>
        </is>
      </c>
      <c r="F403" s="14" t="inlineStr">
        <is>
          <t>Organização do Estado e dos Poderes</t>
        </is>
      </c>
      <c r="G403" s="15" t="inlineStr"/>
      <c r="H403" s="15" t="n"/>
      <c r="I403" s="15" t="n"/>
      <c r="J403" s="35" t="inlineStr">
        <is>
          <t>A FAZER</t>
        </is>
      </c>
    </row>
    <row r="404">
      <c r="A404" s="53" t="n">
        <v>46364</v>
      </c>
      <c r="B404" s="6" t="inlineStr">
        <is>
          <t>Terça</t>
        </is>
      </c>
      <c r="C404" s="6" t="n">
        <v>402</v>
      </c>
      <c r="D404" s="12" t="inlineStr">
        <is>
          <t>ENGENHARIA DE SOFTWARE</t>
        </is>
      </c>
      <c r="E404" s="13" t="inlineStr">
        <is>
          <t>REVISÃO 7 DIAS</t>
        </is>
      </c>
      <c r="F404" s="12" t="inlineStr">
        <is>
          <t>Diagrama Entidade-Relacionamento (ER) e modelagem</t>
        </is>
      </c>
      <c r="G404" s="13" t="inlineStr"/>
      <c r="H404" s="13" t="n"/>
      <c r="I404" s="13" t="n"/>
      <c r="J404" s="35" t="inlineStr">
        <is>
          <t>A FAZER</t>
        </is>
      </c>
    </row>
    <row r="405">
      <c r="A405" s="53" t="n">
        <v>46364</v>
      </c>
      <c r="B405" s="6" t="inlineStr">
        <is>
          <t>Terça</t>
        </is>
      </c>
      <c r="C405" s="6" t="n">
        <v>403</v>
      </c>
      <c r="D405" s="8" t="inlineStr">
        <is>
          <t>LEGISLAÇÃO INSTITUCIONAL MP</t>
        </is>
      </c>
      <c r="E405" s="9" t="inlineStr">
        <is>
          <t>REVISÃO 24H</t>
        </is>
      </c>
      <c r="F405" s="8" t="inlineStr">
        <is>
          <t>Lei Orgânica do MPMS (LC Estadual 72/1994)</t>
        </is>
      </c>
      <c r="G405" s="9" t="inlineStr"/>
      <c r="H405" s="9" t="n"/>
      <c r="I405" s="9" t="n"/>
      <c r="J405" s="35" t="inlineStr">
        <is>
          <t>A FAZER</t>
        </is>
      </c>
    </row>
    <row r="406">
      <c r="A406" s="52" t="n">
        <v>46365</v>
      </c>
      <c r="B406" s="4" t="inlineStr">
        <is>
          <t>Quarta</t>
        </is>
      </c>
      <c r="C406" s="4" t="n">
        <v>404</v>
      </c>
      <c r="D406" s="5" t="inlineStr">
        <is>
          <t>ARQUITETURA DE SOFTWARE</t>
        </is>
      </c>
      <c r="E406" s="6" t="inlineStr">
        <is>
          <t>ESTUDO</t>
        </is>
      </c>
      <c r="F406" s="5" t="inlineStr">
        <is>
          <t>Padrões SOAP, REST, XML, XSLT, WSDL, JSON, RMI</t>
        </is>
      </c>
      <c r="G406" s="6" t="n">
        <v>120</v>
      </c>
      <c r="H406" s="6" t="n"/>
      <c r="I406" s="6" t="n"/>
      <c r="J406" s="35" t="inlineStr">
        <is>
          <t>A FAZER</t>
        </is>
      </c>
    </row>
    <row r="407">
      <c r="A407" s="52" t="n">
        <v>46365</v>
      </c>
      <c r="B407" s="4" t="inlineStr">
        <is>
          <t>Quarta</t>
        </is>
      </c>
      <c r="C407" s="4" t="n">
        <v>405</v>
      </c>
      <c r="D407" s="16" t="inlineStr">
        <is>
          <t>DIREITO ADMINISTRATIVO</t>
        </is>
      </c>
      <c r="E407" s="17" t="inlineStr">
        <is>
          <t>REVISÃO 30 DIAS</t>
        </is>
      </c>
      <c r="F407" s="16" t="inlineStr">
        <is>
          <t>Serviços Públicos; Agentes Públicos e Concurso Público</t>
        </is>
      </c>
      <c r="G407" s="17" t="inlineStr"/>
      <c r="H407" s="17" t="n"/>
      <c r="I407" s="17" t="n"/>
      <c r="J407" s="35" t="inlineStr">
        <is>
          <t>A FAZER</t>
        </is>
      </c>
    </row>
    <row r="408">
      <c r="A408" s="52" t="n">
        <v>46365</v>
      </c>
      <c r="B408" s="4" t="inlineStr">
        <is>
          <t>Quarta</t>
        </is>
      </c>
      <c r="C408" s="4" t="n">
        <v>406</v>
      </c>
      <c r="D408" s="14" t="inlineStr">
        <is>
          <t>DIREITO ADMINISTRATIVO</t>
        </is>
      </c>
      <c r="E408" s="15" t="inlineStr">
        <is>
          <t>REVISÃO 15 DIAS</t>
        </is>
      </c>
      <c r="F408" s="14" t="inlineStr">
        <is>
          <t>Improbidade Administrativa</t>
        </is>
      </c>
      <c r="G408" s="15" t="inlineStr"/>
      <c r="H408" s="15" t="n"/>
      <c r="I408" s="15" t="n"/>
      <c r="J408" s="35" t="inlineStr">
        <is>
          <t>A FAZER</t>
        </is>
      </c>
    </row>
    <row r="409">
      <c r="A409" s="52" t="n">
        <v>46365</v>
      </c>
      <c r="B409" s="4" t="inlineStr">
        <is>
          <t>Quarta</t>
        </is>
      </c>
      <c r="C409" s="4" t="n">
        <v>407</v>
      </c>
      <c r="D409" s="12" t="inlineStr">
        <is>
          <t>ARQUITETURA DE SOFTWARE</t>
        </is>
      </c>
      <c r="E409" s="13" t="inlineStr">
        <is>
          <t>REVISÃO 7 DIAS</t>
        </is>
      </c>
      <c r="F409" s="12" t="inlineStr">
        <is>
          <t>Frameworks de persistência (ORM); serviços de mensageria</t>
        </is>
      </c>
      <c r="G409" s="13" t="inlineStr"/>
      <c r="H409" s="13" t="n"/>
      <c r="I409" s="13" t="n"/>
      <c r="J409" s="35" t="inlineStr">
        <is>
          <t>A FAZER</t>
        </is>
      </c>
    </row>
    <row r="410">
      <c r="A410" s="52" t="n">
        <v>46365</v>
      </c>
      <c r="B410" s="4" t="inlineStr">
        <is>
          <t>Quarta</t>
        </is>
      </c>
      <c r="C410" s="4" t="n">
        <v>408</v>
      </c>
      <c r="D410" s="8" t="inlineStr">
        <is>
          <t>ENGENHARIA DE SOFTWARE</t>
        </is>
      </c>
      <c r="E410" s="9" t="inlineStr">
        <is>
          <t>REVISÃO 24H</t>
        </is>
      </c>
      <c r="F410" s="8" t="inlineStr">
        <is>
          <t>DevOps e CI/CD (conceitos e ferramentas)</t>
        </is>
      </c>
      <c r="G410" s="9" t="inlineStr"/>
      <c r="H410" s="9" t="n"/>
      <c r="I410" s="9" t="n"/>
      <c r="J410" s="35" t="inlineStr">
        <is>
          <t>A FAZER</t>
        </is>
      </c>
    </row>
    <row r="411">
      <c r="A411" s="53" t="n">
        <v>46366</v>
      </c>
      <c r="B411" s="6" t="inlineStr">
        <is>
          <t>Quinta</t>
        </is>
      </c>
      <c r="C411" s="6" t="n">
        <v>409</v>
      </c>
      <c r="D411" s="5" t="inlineStr">
        <is>
          <t>LINGUAGENS DE PROGRAMAÇÃO</t>
        </is>
      </c>
      <c r="E411" s="6" t="inlineStr">
        <is>
          <t>ESTUDO</t>
        </is>
      </c>
      <c r="F411" s="5" t="inlineStr">
        <is>
          <t>Python 3.7+ (sintaxe, estruturas, boas práticas)</t>
        </is>
      </c>
      <c r="G411" s="6" t="n">
        <v>120</v>
      </c>
      <c r="H411" s="6" t="n"/>
      <c r="I411" s="6" t="n"/>
      <c r="J411" s="35" t="inlineStr">
        <is>
          <t>A FAZER</t>
        </is>
      </c>
    </row>
    <row r="412">
      <c r="A412" s="53" t="n">
        <v>46366</v>
      </c>
      <c r="B412" s="6" t="inlineStr">
        <is>
          <t>Quinta</t>
        </is>
      </c>
      <c r="C412" s="6" t="n">
        <v>410</v>
      </c>
      <c r="D412" s="16" t="inlineStr">
        <is>
          <t>LEGISLAÇÃO INSTITUCIONAL MP</t>
        </is>
      </c>
      <c r="E412" s="17" t="inlineStr">
        <is>
          <t>REVISÃO 30 DIAS</t>
        </is>
      </c>
      <c r="F412" s="16" t="inlineStr">
        <is>
          <t>Política Antifraude e Código de Ética do MPMS</t>
        </is>
      </c>
      <c r="G412" s="17" t="inlineStr"/>
      <c r="H412" s="17" t="n"/>
      <c r="I412" s="17" t="n"/>
      <c r="J412" s="35" t="inlineStr">
        <is>
          <t>A FAZER</t>
        </is>
      </c>
    </row>
    <row r="413">
      <c r="A413" s="53" t="n">
        <v>46366</v>
      </c>
      <c r="B413" s="6" t="inlineStr">
        <is>
          <t>Quinta</t>
        </is>
      </c>
      <c r="C413" s="6" t="n">
        <v>411</v>
      </c>
      <c r="D413" s="14" t="inlineStr">
        <is>
          <t>LEGISLAÇÃO INSTITUCIONAL MP</t>
        </is>
      </c>
      <c r="E413" s="15" t="inlineStr">
        <is>
          <t>REVISÃO 15 DIAS</t>
        </is>
      </c>
      <c r="F413" s="14" t="inlineStr">
        <is>
          <t>Lei Orgânica Nacional do MP (Lei 8.625/93)</t>
        </is>
      </c>
      <c r="G413" s="15" t="inlineStr"/>
      <c r="H413" s="15" t="n"/>
      <c r="I413" s="15" t="n"/>
      <c r="J413" s="35" t="inlineStr">
        <is>
          <t>A FAZER</t>
        </is>
      </c>
    </row>
    <row r="414">
      <c r="A414" s="53" t="n">
        <v>46366</v>
      </c>
      <c r="B414" s="6" t="inlineStr">
        <is>
          <t>Quinta</t>
        </is>
      </c>
      <c r="C414" s="6" t="n">
        <v>412</v>
      </c>
      <c r="D414" s="12" t="inlineStr">
        <is>
          <t>LINGUAGENS DE PROGRAMAÇÃO</t>
        </is>
      </c>
      <c r="E414" s="13" t="inlineStr">
        <is>
          <t>REVISÃO 7 DIAS</t>
        </is>
      </c>
      <c r="F414" s="12" t="inlineStr">
        <is>
          <t>HTML5, CSS3 e JavaScript</t>
        </is>
      </c>
      <c r="G414" s="13" t="inlineStr"/>
      <c r="H414" s="13" t="n"/>
      <c r="I414" s="13" t="n"/>
      <c r="J414" s="35" t="inlineStr">
        <is>
          <t>A FAZER</t>
        </is>
      </c>
    </row>
    <row r="415">
      <c r="A415" s="53" t="n">
        <v>46366</v>
      </c>
      <c r="B415" s="6" t="inlineStr">
        <is>
          <t>Quinta</t>
        </is>
      </c>
      <c r="C415" s="6" t="n">
        <v>413</v>
      </c>
      <c r="D415" s="8" t="inlineStr">
        <is>
          <t>ARQUITETURA DE SOFTWARE</t>
        </is>
      </c>
      <c r="E415" s="9" t="inlineStr">
        <is>
          <t>REVISÃO 24H</t>
        </is>
      </c>
      <c r="F415" s="8" t="inlineStr">
        <is>
          <t>Padrões SOAP, REST, XML, XSLT, WSDL, JSON, RMI</t>
        </is>
      </c>
      <c r="G415" s="9" t="inlineStr"/>
      <c r="H415" s="9" t="n"/>
      <c r="I415" s="9" t="n"/>
      <c r="J415" s="35" t="inlineStr">
        <is>
          <t>A FAZER</t>
        </is>
      </c>
    </row>
    <row r="416">
      <c r="A416" s="52" t="n">
        <v>46367</v>
      </c>
      <c r="B416" s="4" t="inlineStr">
        <is>
          <t>Sexta</t>
        </is>
      </c>
      <c r="C416" s="4" t="n">
        <v>414</v>
      </c>
      <c r="D416" s="5" t="inlineStr">
        <is>
          <t>QUALIDADE DE SOFTWARE</t>
        </is>
      </c>
      <c r="E416" s="6" t="inlineStr">
        <is>
          <t>ESTUDO</t>
        </is>
      </c>
      <c r="F416" s="5" t="inlineStr">
        <is>
          <t>Garantia da qualidade e métricas de código</t>
        </is>
      </c>
      <c r="G416" s="6" t="n">
        <v>120</v>
      </c>
      <c r="H416" s="6" t="n"/>
      <c r="I416" s="6" t="n"/>
      <c r="J416" s="35" t="inlineStr">
        <is>
          <t>A FAZER</t>
        </is>
      </c>
    </row>
    <row r="417">
      <c r="A417" s="52" t="n">
        <v>46367</v>
      </c>
      <c r="B417" s="4" t="inlineStr">
        <is>
          <t>Sexta</t>
        </is>
      </c>
      <c r="C417" s="4" t="n">
        <v>415</v>
      </c>
      <c r="D417" s="16" t="inlineStr">
        <is>
          <t>ENGENHARIA DE SOFTWARE</t>
        </is>
      </c>
      <c r="E417" s="17" t="inlineStr">
        <is>
          <t>REVISÃO 30 DIAS</t>
        </is>
      </c>
      <c r="F417" s="16" t="inlineStr">
        <is>
          <t>Processos interativo/incremental; práticas ágeis; TDD</t>
        </is>
      </c>
      <c r="G417" s="17" t="inlineStr"/>
      <c r="H417" s="17" t="n"/>
      <c r="I417" s="17" t="n"/>
      <c r="J417" s="35" t="inlineStr">
        <is>
          <t>A FAZER</t>
        </is>
      </c>
    </row>
    <row r="418">
      <c r="A418" s="52" t="n">
        <v>46367</v>
      </c>
      <c r="B418" s="4" t="inlineStr">
        <is>
          <t>Sexta</t>
        </is>
      </c>
      <c r="C418" s="4" t="n">
        <v>416</v>
      </c>
      <c r="D418" s="14" t="inlineStr">
        <is>
          <t>ENGENHARIA DE SOFTWARE</t>
        </is>
      </c>
      <c r="E418" s="15" t="inlineStr">
        <is>
          <t>REVISÃO 15 DIAS</t>
        </is>
      </c>
      <c r="F418" s="14" t="inlineStr">
        <is>
          <t>Requisitos: elicitação, histórias de usuário, MVP, prototipação, personas</t>
        </is>
      </c>
      <c r="G418" s="15" t="inlineStr"/>
      <c r="H418" s="15" t="n"/>
      <c r="I418" s="15" t="n"/>
      <c r="J418" s="35" t="inlineStr">
        <is>
          <t>A FAZER</t>
        </is>
      </c>
    </row>
    <row r="419">
      <c r="A419" s="52" t="n">
        <v>46367</v>
      </c>
      <c r="B419" s="4" t="inlineStr">
        <is>
          <t>Sexta</t>
        </is>
      </c>
      <c r="C419" s="4" t="n">
        <v>417</v>
      </c>
      <c r="D419" s="12" t="inlineStr">
        <is>
          <t>ESTRUTURA DE DADOS E ALGORITMOS</t>
        </is>
      </c>
      <c r="E419" s="13" t="inlineStr">
        <is>
          <t>REVISÃO 7 DIAS</t>
        </is>
      </c>
      <c r="F419" s="12" t="inlineStr">
        <is>
          <t>Sub-rotinas: chamada por endereço, referência e valor</t>
        </is>
      </c>
      <c r="G419" s="13" t="inlineStr"/>
      <c r="H419" s="13" t="n"/>
      <c r="I419" s="13" t="n"/>
      <c r="J419" s="35" t="inlineStr">
        <is>
          <t>A FAZER</t>
        </is>
      </c>
    </row>
    <row r="420">
      <c r="A420" s="52" t="n">
        <v>46367</v>
      </c>
      <c r="B420" s="4" t="inlineStr">
        <is>
          <t>Sexta</t>
        </is>
      </c>
      <c r="C420" s="4" t="n">
        <v>418</v>
      </c>
      <c r="D420" s="8" t="inlineStr">
        <is>
          <t>LINGUAGENS DE PROGRAMAÇÃO</t>
        </is>
      </c>
      <c r="E420" s="9" t="inlineStr">
        <is>
          <t>REVISÃO 24H</t>
        </is>
      </c>
      <c r="F420" s="8" t="inlineStr">
        <is>
          <t>Python 3.7+ (sintaxe, estruturas, boas práticas)</t>
        </is>
      </c>
      <c r="G420" s="9" t="inlineStr"/>
      <c r="H420" s="9" t="n"/>
      <c r="I420" s="9" t="n"/>
      <c r="J420" s="35" t="inlineStr">
        <is>
          <t>A FAZER</t>
        </is>
      </c>
    </row>
    <row r="421">
      <c r="A421" s="53" t="n">
        <v>46368</v>
      </c>
      <c r="B421" s="6" t="inlineStr">
        <is>
          <t>Sábado</t>
        </is>
      </c>
      <c r="C421" s="6" t="n">
        <v>419</v>
      </c>
      <c r="D421" s="5" t="inlineStr">
        <is>
          <t>ESTRUTURA DE DADOS E ALGORITMOS</t>
        </is>
      </c>
      <c r="E421" s="6" t="inlineStr">
        <is>
          <t>ESTUDO</t>
        </is>
      </c>
      <c r="F421" s="5" t="inlineStr">
        <is>
          <t>Algoritmos de pesquisa e ordenação</t>
        </is>
      </c>
      <c r="G421" s="6" t="n">
        <v>120</v>
      </c>
      <c r="H421" s="6" t="n"/>
      <c r="I421" s="6" t="n"/>
      <c r="J421" s="35" t="inlineStr">
        <is>
          <t>A FAZER</t>
        </is>
      </c>
    </row>
    <row r="422">
      <c r="A422" s="53" t="n">
        <v>46368</v>
      </c>
      <c r="B422" s="6" t="inlineStr">
        <is>
          <t>Sábado</t>
        </is>
      </c>
      <c r="C422" s="6" t="n">
        <v>420</v>
      </c>
      <c r="D422" s="5" t="inlineStr">
        <is>
          <t>ARQUITETURA / BANCO DE DADOS</t>
        </is>
      </c>
      <c r="E422" s="6" t="inlineStr">
        <is>
          <t>ESTUDO</t>
        </is>
      </c>
      <c r="F422" s="5" t="inlineStr">
        <is>
          <t>Modelagem dimensional e avaliação de modelos</t>
        </is>
      </c>
      <c r="G422" s="6" t="n">
        <v>120</v>
      </c>
      <c r="H422" s="6" t="n"/>
      <c r="I422" s="6" t="n"/>
      <c r="J422" s="35" t="inlineStr">
        <is>
          <t>A FAZER</t>
        </is>
      </c>
    </row>
    <row r="423">
      <c r="A423" s="53" t="n">
        <v>46368</v>
      </c>
      <c r="B423" s="6" t="inlineStr">
        <is>
          <t>Sábado</t>
        </is>
      </c>
      <c r="C423" s="6" t="n">
        <v>421</v>
      </c>
      <c r="D423" s="16" t="inlineStr">
        <is>
          <t>ARQUITETURA DE SOFTWARE</t>
        </is>
      </c>
      <c r="E423" s="17" t="inlineStr">
        <is>
          <t>REVISÃO 30 DIAS</t>
        </is>
      </c>
      <c r="F423" s="16" t="inlineStr">
        <is>
          <t>Arquitetura Orientada a Serviços (SOA) e interoperabilidade</t>
        </is>
      </c>
      <c r="G423" s="17" t="inlineStr"/>
      <c r="H423" s="17" t="n"/>
      <c r="I423" s="17" t="n"/>
      <c r="J423" s="35" t="inlineStr">
        <is>
          <t>A FAZER</t>
        </is>
      </c>
    </row>
    <row r="424">
      <c r="A424" s="53" t="n">
        <v>46368</v>
      </c>
      <c r="B424" s="6" t="inlineStr">
        <is>
          <t>Sábado</t>
        </is>
      </c>
      <c r="C424" s="6" t="n">
        <v>422</v>
      </c>
      <c r="D424" s="14" t="inlineStr">
        <is>
          <t>ARQUITETURA DE SOFTWARE</t>
        </is>
      </c>
      <c r="E424" s="15" t="inlineStr">
        <is>
          <t>REVISÃO 15 DIAS</t>
        </is>
      </c>
      <c r="F424" s="14" t="inlineStr">
        <is>
          <t>Conteinerização; servidores de aplicação</t>
        </is>
      </c>
      <c r="G424" s="15" t="inlineStr"/>
      <c r="H424" s="15" t="n"/>
      <c r="I424" s="15" t="n"/>
      <c r="J424" s="35" t="inlineStr">
        <is>
          <t>A FAZER</t>
        </is>
      </c>
    </row>
    <row r="425">
      <c r="A425" s="53" t="n">
        <v>46368</v>
      </c>
      <c r="B425" s="6" t="inlineStr">
        <is>
          <t>Sábado</t>
        </is>
      </c>
      <c r="C425" s="6" t="n">
        <v>423</v>
      </c>
      <c r="D425" s="12" t="inlineStr">
        <is>
          <t>ARQUITETURA / BANCO DE DADOS</t>
        </is>
      </c>
      <c r="E425" s="13" t="inlineStr">
        <is>
          <t>REVISÃO 7 DIAS</t>
        </is>
      </c>
      <c r="F425" s="12" t="inlineStr">
        <is>
          <t>Normalização, integridade referencial e metadados</t>
        </is>
      </c>
      <c r="G425" s="13" t="inlineStr"/>
      <c r="H425" s="13" t="n"/>
      <c r="I425" s="13" t="n"/>
      <c r="J425" s="35" t="inlineStr">
        <is>
          <t>A FAZER</t>
        </is>
      </c>
    </row>
    <row r="426">
      <c r="A426" s="53" t="n">
        <v>46368</v>
      </c>
      <c r="B426" s="6" t="inlineStr">
        <is>
          <t>Sábado</t>
        </is>
      </c>
      <c r="C426" s="6" t="n">
        <v>424</v>
      </c>
      <c r="D426" s="12" t="inlineStr">
        <is>
          <t>LÍNGUA PORTUGUESA</t>
        </is>
      </c>
      <c r="E426" s="13" t="inlineStr">
        <is>
          <t>REVISÃO 7 DIAS</t>
        </is>
      </c>
      <c r="F426" s="12" t="inlineStr">
        <is>
          <t>Sintaxe (período simples e composto); concordância e regência</t>
        </is>
      </c>
      <c r="G426" s="13" t="inlineStr"/>
      <c r="H426" s="13" t="n"/>
      <c r="I426" s="13" t="n"/>
      <c r="J426" s="35" t="inlineStr">
        <is>
          <t>A FAZER</t>
        </is>
      </c>
    </row>
    <row r="427">
      <c r="A427" s="53" t="n">
        <v>46368</v>
      </c>
      <c r="B427" s="6" t="inlineStr">
        <is>
          <t>Sábado</t>
        </is>
      </c>
      <c r="C427" s="6" t="n">
        <v>425</v>
      </c>
      <c r="D427" s="8" t="inlineStr">
        <is>
          <t>QUALIDADE DE SOFTWARE</t>
        </is>
      </c>
      <c r="E427" s="9" t="inlineStr">
        <is>
          <t>REVISÃO 24H</t>
        </is>
      </c>
      <c r="F427" s="8" t="inlineStr">
        <is>
          <t>Garantia da qualidade e métricas de código</t>
        </is>
      </c>
      <c r="G427" s="9" t="inlineStr"/>
      <c r="H427" s="9" t="n"/>
      <c r="I427" s="9" t="n"/>
      <c r="J427" s="35" t="inlineStr">
        <is>
          <t>A FAZER</t>
        </is>
      </c>
    </row>
    <row r="428">
      <c r="A428" s="52" t="n">
        <v>46369</v>
      </c>
      <c r="B428" s="4" t="inlineStr">
        <is>
          <t>Domingo</t>
        </is>
      </c>
      <c r="C428" s="4" t="n">
        <v>426</v>
      </c>
      <c r="D428" s="5" t="inlineStr">
        <is>
          <t>SEGURANÇA DA INFORMAÇÃO</t>
        </is>
      </c>
      <c r="E428" s="6" t="inlineStr">
        <is>
          <t>ESTUDO</t>
        </is>
      </c>
      <c r="F428" s="5" t="inlineStr">
        <is>
          <t>Desenvolvimento seguro: SAST / DAST / IAST</t>
        </is>
      </c>
      <c r="G428" s="6" t="n">
        <v>120</v>
      </c>
      <c r="H428" s="6" t="n"/>
      <c r="I428" s="6" t="n"/>
      <c r="J428" s="35" t="inlineStr">
        <is>
          <t>A FAZER</t>
        </is>
      </c>
    </row>
    <row r="429">
      <c r="A429" s="52" t="n">
        <v>46369</v>
      </c>
      <c r="B429" s="4" t="inlineStr">
        <is>
          <t>Domingo</t>
        </is>
      </c>
      <c r="C429" s="4" t="n">
        <v>427</v>
      </c>
      <c r="D429" s="10" t="inlineStr">
        <is>
          <t>ENGENHARIA DE SOFTWARE</t>
        </is>
      </c>
      <c r="E429" s="11" t="inlineStr">
        <is>
          <t>SIMULADO</t>
        </is>
      </c>
      <c r="F429" s="10" t="inlineStr">
        <is>
          <t>Simulado misto (questões de todas as matérias da semana)</t>
        </is>
      </c>
      <c r="G429" s="11" t="n">
        <v>120</v>
      </c>
      <c r="H429" s="11" t="n"/>
      <c r="I429" s="11" t="n"/>
      <c r="J429" s="35" t="inlineStr">
        <is>
          <t>A FAZER</t>
        </is>
      </c>
    </row>
    <row r="430">
      <c r="A430" s="52" t="n">
        <v>46369</v>
      </c>
      <c r="B430" s="4" t="inlineStr">
        <is>
          <t>Domingo</t>
        </is>
      </c>
      <c r="C430" s="4" t="n">
        <v>428</v>
      </c>
      <c r="D430" s="16" t="inlineStr">
        <is>
          <t>LINGUAGENS DE PROGRAMAÇÃO</t>
        </is>
      </c>
      <c r="E430" s="17" t="inlineStr">
        <is>
          <t>REVISÃO 30 DIAS</t>
        </is>
      </c>
      <c r="F430" s="16" t="inlineStr">
        <is>
          <t>Orientação a Objetos: pilares e características estruturais</t>
        </is>
      </c>
      <c r="G430" s="17" t="inlineStr"/>
      <c r="H430" s="17" t="n"/>
      <c r="I430" s="17" t="n"/>
      <c r="J430" s="35" t="inlineStr">
        <is>
          <t>A FAZER</t>
        </is>
      </c>
    </row>
    <row r="431">
      <c r="A431" s="52" t="n">
        <v>46369</v>
      </c>
      <c r="B431" s="4" t="inlineStr">
        <is>
          <t>Domingo</t>
        </is>
      </c>
      <c r="C431" s="4" t="n">
        <v>429</v>
      </c>
      <c r="D431" s="14" t="inlineStr">
        <is>
          <t>LINGUAGENS DE PROGRAMAÇÃO</t>
        </is>
      </c>
      <c r="E431" s="15" t="inlineStr">
        <is>
          <t>REVISÃO 15 DIAS</t>
        </is>
      </c>
      <c r="F431" s="14" t="inlineStr">
        <is>
          <t>Tratamento de exceções e anotações</t>
        </is>
      </c>
      <c r="G431" s="15" t="inlineStr"/>
      <c r="H431" s="15" t="n"/>
      <c r="I431" s="15" t="n"/>
      <c r="J431" s="35" t="inlineStr">
        <is>
          <t>A FAZER</t>
        </is>
      </c>
    </row>
    <row r="432">
      <c r="A432" s="52" t="n">
        <v>46369</v>
      </c>
      <c r="B432" s="4" t="inlineStr">
        <is>
          <t>Domingo</t>
        </is>
      </c>
      <c r="C432" s="4" t="n">
        <v>430</v>
      </c>
      <c r="D432" s="14" t="inlineStr">
        <is>
          <t>QUALIDADE DE SOFTWARE</t>
        </is>
      </c>
      <c r="E432" s="15" t="inlineStr">
        <is>
          <t>REVISÃO 15 DIAS</t>
        </is>
      </c>
      <c r="F432" s="14" t="inlineStr">
        <is>
          <t>Conceitos básicos de auditoria de sistemas</t>
        </is>
      </c>
      <c r="G432" s="15" t="inlineStr"/>
      <c r="H432" s="15" t="n"/>
      <c r="I432" s="15" t="n"/>
      <c r="J432" s="35" t="inlineStr">
        <is>
          <t>A FAZER</t>
        </is>
      </c>
    </row>
    <row r="433">
      <c r="A433" s="52" t="n">
        <v>46369</v>
      </c>
      <c r="B433" s="4" t="inlineStr">
        <is>
          <t>Domingo</t>
        </is>
      </c>
      <c r="C433" s="4" t="n">
        <v>431</v>
      </c>
      <c r="D433" s="12" t="inlineStr">
        <is>
          <t>DIREITO CONSTITUCIONAL</t>
        </is>
      </c>
      <c r="E433" s="13" t="inlineStr">
        <is>
          <t>REVISÃO 7 DIAS</t>
        </is>
      </c>
      <c r="F433" s="12" t="inlineStr">
        <is>
          <t>Controle de Constitucionalidade</t>
        </is>
      </c>
      <c r="G433" s="13" t="inlineStr"/>
      <c r="H433" s="13" t="n"/>
      <c r="I433" s="13" t="n"/>
      <c r="J433" s="35" t="inlineStr">
        <is>
          <t>A FAZER</t>
        </is>
      </c>
    </row>
    <row r="434">
      <c r="A434" s="52" t="n">
        <v>46369</v>
      </c>
      <c r="B434" s="4" t="inlineStr">
        <is>
          <t>Domingo</t>
        </is>
      </c>
      <c r="C434" s="4" t="n">
        <v>432</v>
      </c>
      <c r="D434" s="8" t="inlineStr">
        <is>
          <t>ESTRUTURA DE DADOS E ALGORITMOS</t>
        </is>
      </c>
      <c r="E434" s="9" t="inlineStr">
        <is>
          <t>REVISÃO 24H</t>
        </is>
      </c>
      <c r="F434" s="8" t="inlineStr">
        <is>
          <t>Algoritmos de pesquisa e ordenação</t>
        </is>
      </c>
      <c r="G434" s="9" t="inlineStr"/>
      <c r="H434" s="9" t="n"/>
      <c r="I434" s="9" t="n"/>
      <c r="J434" s="35" t="inlineStr">
        <is>
          <t>A FAZER</t>
        </is>
      </c>
    </row>
    <row r="435">
      <c r="A435" s="52" t="n">
        <v>46369</v>
      </c>
      <c r="B435" s="4" t="inlineStr">
        <is>
          <t>Domingo</t>
        </is>
      </c>
      <c r="C435" s="4" t="n">
        <v>433</v>
      </c>
      <c r="D435" s="8" t="inlineStr">
        <is>
          <t>ARQUITETURA / BANCO DE DADOS</t>
        </is>
      </c>
      <c r="E435" s="9" t="inlineStr">
        <is>
          <t>REVISÃO 24H</t>
        </is>
      </c>
      <c r="F435" s="8" t="inlineStr">
        <is>
          <t>Modelagem dimensional e avaliação de modelos</t>
        </is>
      </c>
      <c r="G435" s="9" t="inlineStr"/>
      <c r="H435" s="9" t="n"/>
      <c r="I435" s="9" t="n"/>
      <c r="J435" s="35" t="inlineStr">
        <is>
          <t>A FAZER</t>
        </is>
      </c>
    </row>
    <row r="436">
      <c r="A436" s="53" t="n">
        <v>46370</v>
      </c>
      <c r="B436" s="6" t="inlineStr">
        <is>
          <t>Segunda</t>
        </is>
      </c>
      <c r="C436" s="6" t="n">
        <v>434</v>
      </c>
      <c r="D436" s="5" t="inlineStr">
        <is>
          <t>ARQUITETURA DE SOFTWARE</t>
        </is>
      </c>
      <c r="E436" s="6" t="inlineStr">
        <is>
          <t>ESTUDO</t>
        </is>
      </c>
      <c r="F436" s="5" t="inlineStr">
        <is>
          <t>Refatoração, modernização e componentização de software</t>
        </is>
      </c>
      <c r="G436" s="6" t="n">
        <v>120</v>
      </c>
      <c r="H436" s="6" t="n"/>
      <c r="I436" s="6" t="n"/>
      <c r="J436" s="35" t="inlineStr">
        <is>
          <t>A FAZER</t>
        </is>
      </c>
    </row>
    <row r="437">
      <c r="A437" s="53" t="n">
        <v>46370</v>
      </c>
      <c r="B437" s="6" t="inlineStr">
        <is>
          <t>Segunda</t>
        </is>
      </c>
      <c r="C437" s="6" t="n">
        <v>435</v>
      </c>
      <c r="D437" s="16" t="inlineStr">
        <is>
          <t>QUALIDADE DE SOFTWARE</t>
        </is>
      </c>
      <c r="E437" s="17" t="inlineStr">
        <is>
          <t>REVISÃO 30 DIAS</t>
        </is>
      </c>
      <c r="F437" s="16" t="inlineStr">
        <is>
          <t>Gerência de configuração de software (Git)</t>
        </is>
      </c>
      <c r="G437" s="17" t="inlineStr"/>
      <c r="H437" s="17" t="n"/>
      <c r="I437" s="17" t="n"/>
      <c r="J437" s="35" t="inlineStr">
        <is>
          <t>A FAZER</t>
        </is>
      </c>
    </row>
    <row r="438">
      <c r="A438" s="53" t="n">
        <v>46370</v>
      </c>
      <c r="B438" s="6" t="inlineStr">
        <is>
          <t>Segunda</t>
        </is>
      </c>
      <c r="C438" s="6" t="n">
        <v>436</v>
      </c>
      <c r="D438" s="16" t="inlineStr">
        <is>
          <t>ESTRUTURA DE DADOS E ALGORITMOS</t>
        </is>
      </c>
      <c r="E438" s="17" t="inlineStr">
        <is>
          <t>REVISÃO 30 DIAS</t>
        </is>
      </c>
      <c r="F438" s="16" t="inlineStr">
        <is>
          <t>Listas lineares, encadeadas, vetores e matrizes</t>
        </is>
      </c>
      <c r="G438" s="17" t="inlineStr"/>
      <c r="H438" s="17" t="n"/>
      <c r="I438" s="17" t="n"/>
      <c r="J438" s="35" t="inlineStr">
        <is>
          <t>A FAZER</t>
        </is>
      </c>
    </row>
    <row r="439">
      <c r="A439" s="53" t="n">
        <v>46370</v>
      </c>
      <c r="B439" s="6" t="inlineStr">
        <is>
          <t>Segunda</t>
        </is>
      </c>
      <c r="C439" s="6" t="n">
        <v>437</v>
      </c>
      <c r="D439" s="14" t="inlineStr">
        <is>
          <t>ESTRUTURA DE DADOS E ALGORITMOS</t>
        </is>
      </c>
      <c r="E439" s="15" t="inlineStr">
        <is>
          <t>REVISÃO 15 DIAS</t>
        </is>
      </c>
      <c r="F439" s="14" t="inlineStr">
        <is>
          <t>Tipos básicos e abstratos de dados (lista, fila, pilha, árvore)</t>
        </is>
      </c>
      <c r="G439" s="15" t="inlineStr"/>
      <c r="H439" s="15" t="n"/>
      <c r="I439" s="15" t="n"/>
      <c r="J439" s="35" t="inlineStr">
        <is>
          <t>A FAZER</t>
        </is>
      </c>
    </row>
    <row r="440">
      <c r="A440" s="53" t="n">
        <v>46370</v>
      </c>
      <c r="B440" s="6" t="inlineStr">
        <is>
          <t>Segunda</t>
        </is>
      </c>
      <c r="C440" s="6" t="n">
        <v>438</v>
      </c>
      <c r="D440" s="12" t="inlineStr">
        <is>
          <t>LEGISLAÇÃO INSTITUCIONAL MP</t>
        </is>
      </c>
      <c r="E440" s="13" t="inlineStr">
        <is>
          <t>REVISÃO 7 DIAS</t>
        </is>
      </c>
      <c r="F440" s="12" t="inlineStr">
        <is>
          <t>Lei Orgânica do MPMS (LC Estadual 72/1994)</t>
        </is>
      </c>
      <c r="G440" s="13" t="inlineStr"/>
      <c r="H440" s="13" t="n"/>
      <c r="I440" s="13" t="n"/>
      <c r="J440" s="35" t="inlineStr">
        <is>
          <t>A FAZER</t>
        </is>
      </c>
    </row>
    <row r="441">
      <c r="A441" s="53" t="n">
        <v>46370</v>
      </c>
      <c r="B441" s="6" t="inlineStr">
        <is>
          <t>Segunda</t>
        </is>
      </c>
      <c r="C441" s="6" t="n">
        <v>439</v>
      </c>
      <c r="D441" s="8" t="inlineStr">
        <is>
          <t>SEGURANÇA DA INFORMAÇÃO</t>
        </is>
      </c>
      <c r="E441" s="9" t="inlineStr">
        <is>
          <t>REVISÃO 24H</t>
        </is>
      </c>
      <c r="F441" s="8" t="inlineStr">
        <is>
          <t>Desenvolvimento seguro: SAST / DAST / IAST</t>
        </is>
      </c>
      <c r="G441" s="9" t="inlineStr"/>
      <c r="H441" s="9" t="n"/>
      <c r="I441" s="9" t="n"/>
      <c r="J441" s="35" t="inlineStr">
        <is>
          <t>A FAZER</t>
        </is>
      </c>
    </row>
    <row r="442">
      <c r="A442" s="52" t="n">
        <v>46371</v>
      </c>
      <c r="B442" s="4" t="inlineStr">
        <is>
          <t>Terça</t>
        </is>
      </c>
      <c r="C442" s="4" t="n">
        <v>440</v>
      </c>
      <c r="D442" s="5" t="inlineStr">
        <is>
          <t>LINGUAGENS DE PROGRAMAÇÃO</t>
        </is>
      </c>
      <c r="E442" s="6" t="inlineStr">
        <is>
          <t>ESTUDO</t>
        </is>
      </c>
      <c r="F442" s="5" t="inlineStr">
        <is>
          <t>Java Core 8+ (sintaxe, streams, coleções)</t>
        </is>
      </c>
      <c r="G442" s="6" t="n">
        <v>120</v>
      </c>
      <c r="H442" s="6" t="n"/>
      <c r="I442" s="6" t="n"/>
      <c r="J442" s="35" t="inlineStr">
        <is>
          <t>A FAZER</t>
        </is>
      </c>
    </row>
    <row r="443">
      <c r="A443" s="52" t="n">
        <v>46371</v>
      </c>
      <c r="B443" s="4" t="inlineStr">
        <is>
          <t>Terça</t>
        </is>
      </c>
      <c r="C443" s="4" t="n">
        <v>441</v>
      </c>
      <c r="D443" s="14" t="inlineStr">
        <is>
          <t>SEGURANÇA DA INFORMAÇÃO</t>
        </is>
      </c>
      <c r="E443" s="15" t="inlineStr">
        <is>
          <t>REVISÃO 15 DIAS</t>
        </is>
      </c>
      <c r="F443" s="14" t="inlineStr">
        <is>
          <t>Gestão de identidade e acesso (autenticação, autorização, auditoria)</t>
        </is>
      </c>
      <c r="G443" s="15" t="inlineStr"/>
      <c r="H443" s="15" t="n"/>
      <c r="I443" s="15" t="n"/>
      <c r="J443" s="35" t="inlineStr">
        <is>
          <t>A FAZER</t>
        </is>
      </c>
    </row>
    <row r="444">
      <c r="A444" s="52" t="n">
        <v>46371</v>
      </c>
      <c r="B444" s="4" t="inlineStr">
        <is>
          <t>Terça</t>
        </is>
      </c>
      <c r="C444" s="4" t="n">
        <v>442</v>
      </c>
      <c r="D444" s="12" t="inlineStr">
        <is>
          <t>ENGENHARIA DE SOFTWARE</t>
        </is>
      </c>
      <c r="E444" s="13" t="inlineStr">
        <is>
          <t>REVISÃO 7 DIAS</t>
        </is>
      </c>
      <c r="F444" s="12" t="inlineStr">
        <is>
          <t>DevOps e CI/CD (conceitos e ferramentas)</t>
        </is>
      </c>
      <c r="G444" s="13" t="inlineStr"/>
      <c r="H444" s="13" t="n"/>
      <c r="I444" s="13" t="n"/>
      <c r="J444" s="35" t="inlineStr">
        <is>
          <t>A FAZER</t>
        </is>
      </c>
    </row>
    <row r="445">
      <c r="A445" s="52" t="n">
        <v>46371</v>
      </c>
      <c r="B445" s="4" t="inlineStr">
        <is>
          <t>Terça</t>
        </is>
      </c>
      <c r="C445" s="4" t="n">
        <v>443</v>
      </c>
      <c r="D445" s="8" t="inlineStr">
        <is>
          <t>ARQUITETURA DE SOFTWARE</t>
        </is>
      </c>
      <c r="E445" s="9" t="inlineStr">
        <is>
          <t>REVISÃO 24H</t>
        </is>
      </c>
      <c r="F445" s="8" t="inlineStr">
        <is>
          <t>Refatoração, modernização e componentização de software</t>
        </is>
      </c>
      <c r="G445" s="9" t="inlineStr"/>
      <c r="H445" s="9" t="n"/>
      <c r="I445" s="9" t="n"/>
      <c r="J445" s="35" t="inlineStr">
        <is>
          <t>A FAZER</t>
        </is>
      </c>
    </row>
    <row r="446">
      <c r="A446" s="53" t="n">
        <v>46372</v>
      </c>
      <c r="B446" s="6" t="inlineStr">
        <is>
          <t>Quarta</t>
        </is>
      </c>
      <c r="C446" s="6" t="n">
        <v>444</v>
      </c>
      <c r="D446" s="5" t="inlineStr">
        <is>
          <t>ESTRUTURA DE DADOS E ALGORITMOS</t>
        </is>
      </c>
      <c r="E446" s="6" t="inlineStr">
        <is>
          <t>ESTUDO</t>
        </is>
      </c>
      <c r="F446" s="5" t="inlineStr">
        <is>
          <t>Listas lineares, encadeadas, vetores e matrizes</t>
        </is>
      </c>
      <c r="G446" s="6" t="n">
        <v>120</v>
      </c>
      <c r="H446" s="6" t="n"/>
      <c r="I446" s="6" t="n"/>
      <c r="J446" s="35" t="inlineStr">
        <is>
          <t>A FAZER</t>
        </is>
      </c>
    </row>
    <row r="447">
      <c r="A447" s="53" t="n">
        <v>46372</v>
      </c>
      <c r="B447" s="6" t="inlineStr">
        <is>
          <t>Quarta</t>
        </is>
      </c>
      <c r="C447" s="6" t="n">
        <v>445</v>
      </c>
      <c r="D447" s="16" t="inlineStr">
        <is>
          <t>ARQUITETURA / BANCO DE DADOS</t>
        </is>
      </c>
      <c r="E447" s="17" t="inlineStr">
        <is>
          <t>REVISÃO 30 DIAS</t>
        </is>
      </c>
      <c r="F447" s="16" t="inlineStr">
        <is>
          <t>Manipulação de dados em planilhas; bases multidimensionais</t>
        </is>
      </c>
      <c r="G447" s="17" t="inlineStr"/>
      <c r="H447" s="17" t="n"/>
      <c r="I447" s="17" t="n"/>
      <c r="J447" s="35" t="inlineStr">
        <is>
          <t>A FAZER</t>
        </is>
      </c>
    </row>
    <row r="448">
      <c r="A448" s="53" t="n">
        <v>46372</v>
      </c>
      <c r="B448" s="6" t="inlineStr">
        <is>
          <t>Quarta</t>
        </is>
      </c>
      <c r="C448" s="6" t="n">
        <v>446</v>
      </c>
      <c r="D448" s="14" t="inlineStr">
        <is>
          <t>ENGENHARIA DE SOFTWARE</t>
        </is>
      </c>
      <c r="E448" s="15" t="inlineStr">
        <is>
          <t>REVISÃO 15 DIAS</t>
        </is>
      </c>
      <c r="F448" s="14" t="inlineStr">
        <is>
          <t>Diagrama Entidade-Relacionamento (ER) e modelagem</t>
        </is>
      </c>
      <c r="G448" s="15" t="inlineStr"/>
      <c r="H448" s="15" t="n"/>
      <c r="I448" s="15" t="n"/>
      <c r="J448" s="35" t="inlineStr">
        <is>
          <t>A FAZER</t>
        </is>
      </c>
    </row>
    <row r="449">
      <c r="A449" s="53" t="n">
        <v>46372</v>
      </c>
      <c r="B449" s="6" t="inlineStr">
        <is>
          <t>Quarta</t>
        </is>
      </c>
      <c r="C449" s="6" t="n">
        <v>447</v>
      </c>
      <c r="D449" s="12" t="inlineStr">
        <is>
          <t>ARQUITETURA DE SOFTWARE</t>
        </is>
      </c>
      <c r="E449" s="13" t="inlineStr">
        <is>
          <t>REVISÃO 7 DIAS</t>
        </is>
      </c>
      <c r="F449" s="12" t="inlineStr">
        <is>
          <t>Padrões SOAP, REST, XML, XSLT, WSDL, JSON, RMI</t>
        </is>
      </c>
      <c r="G449" s="13" t="inlineStr"/>
      <c r="H449" s="13" t="n"/>
      <c r="I449" s="13" t="n"/>
      <c r="J449" s="35" t="inlineStr">
        <is>
          <t>A FAZER</t>
        </is>
      </c>
    </row>
    <row r="450">
      <c r="A450" s="53" t="n">
        <v>46372</v>
      </c>
      <c r="B450" s="6" t="inlineStr">
        <is>
          <t>Quarta</t>
        </is>
      </c>
      <c r="C450" s="6" t="n">
        <v>448</v>
      </c>
      <c r="D450" s="8" t="inlineStr">
        <is>
          <t>LINGUAGENS DE PROGRAMAÇÃO</t>
        </is>
      </c>
      <c r="E450" s="9" t="inlineStr">
        <is>
          <t>REVISÃO 24H</t>
        </is>
      </c>
      <c r="F450" s="8" t="inlineStr">
        <is>
          <t>Java Core 8+ (sintaxe, streams, coleções)</t>
        </is>
      </c>
      <c r="G450" s="9" t="inlineStr"/>
      <c r="H450" s="9" t="n"/>
      <c r="I450" s="9" t="n"/>
      <c r="J450" s="35" t="inlineStr">
        <is>
          <t>A FAZER</t>
        </is>
      </c>
    </row>
    <row r="451">
      <c r="A451" s="52" t="n">
        <v>46373</v>
      </c>
      <c r="B451" s="4" t="inlineStr">
        <is>
          <t>Quinta</t>
        </is>
      </c>
      <c r="C451" s="4" t="n">
        <v>449</v>
      </c>
      <c r="D451" s="5" t="inlineStr">
        <is>
          <t>ARQUITETURA / BANCO DE DADOS</t>
        </is>
      </c>
      <c r="E451" s="6" t="inlineStr">
        <is>
          <t>ESTUDO</t>
        </is>
      </c>
      <c r="F451" s="5" t="inlineStr">
        <is>
          <t>SQL: DDL, DML, DCL, DTL</t>
        </is>
      </c>
      <c r="G451" s="6" t="n">
        <v>120</v>
      </c>
      <c r="H451" s="6" t="n"/>
      <c r="I451" s="6" t="n"/>
      <c r="J451" s="35" t="inlineStr">
        <is>
          <t>A FAZER</t>
        </is>
      </c>
    </row>
    <row r="452">
      <c r="A452" s="52" t="n">
        <v>46373</v>
      </c>
      <c r="B452" s="4" t="inlineStr">
        <is>
          <t>Quinta</t>
        </is>
      </c>
      <c r="C452" s="4" t="n">
        <v>450</v>
      </c>
      <c r="D452" s="16" t="inlineStr">
        <is>
          <t>SEGURANÇA DA INFORMAÇÃO</t>
        </is>
      </c>
      <c r="E452" s="17" t="inlineStr">
        <is>
          <t>REVISÃO 30 DIAS</t>
        </is>
      </c>
      <c r="F452" s="16" t="inlineStr">
        <is>
          <t>SSO (Single Sign-On) e Autenticação Multifator (MFA)</t>
        </is>
      </c>
      <c r="G452" s="17" t="inlineStr"/>
      <c r="H452" s="17" t="n"/>
      <c r="I452" s="17" t="n"/>
      <c r="J452" s="35" t="inlineStr">
        <is>
          <t>A FAZER</t>
        </is>
      </c>
    </row>
    <row r="453">
      <c r="A453" s="52" t="n">
        <v>46373</v>
      </c>
      <c r="B453" s="4" t="inlineStr">
        <is>
          <t>Quinta</t>
        </is>
      </c>
      <c r="C453" s="4" t="n">
        <v>451</v>
      </c>
      <c r="D453" s="14" t="inlineStr">
        <is>
          <t>ARQUITETURA DE SOFTWARE</t>
        </is>
      </c>
      <c r="E453" s="15" t="inlineStr">
        <is>
          <t>REVISÃO 15 DIAS</t>
        </is>
      </c>
      <c r="F453" s="14" t="inlineStr">
        <is>
          <t>Frameworks de persistência (ORM); serviços de mensageria</t>
        </is>
      </c>
      <c r="G453" s="15" t="inlineStr"/>
      <c r="H453" s="15" t="n"/>
      <c r="I453" s="15" t="n"/>
      <c r="J453" s="35" t="inlineStr">
        <is>
          <t>A FAZER</t>
        </is>
      </c>
    </row>
    <row r="454">
      <c r="A454" s="52" t="n">
        <v>46373</v>
      </c>
      <c r="B454" s="4" t="inlineStr">
        <is>
          <t>Quinta</t>
        </is>
      </c>
      <c r="C454" s="4" t="n">
        <v>452</v>
      </c>
      <c r="D454" s="12" t="inlineStr">
        <is>
          <t>LINGUAGENS DE PROGRAMAÇÃO</t>
        </is>
      </c>
      <c r="E454" s="13" t="inlineStr">
        <is>
          <t>REVISÃO 7 DIAS</t>
        </is>
      </c>
      <c r="F454" s="12" t="inlineStr">
        <is>
          <t>Python 3.7+ (sintaxe, estruturas, boas práticas)</t>
        </is>
      </c>
      <c r="G454" s="13" t="inlineStr"/>
      <c r="H454" s="13" t="n"/>
      <c r="I454" s="13" t="n"/>
      <c r="J454" s="35" t="inlineStr">
        <is>
          <t>A FAZER</t>
        </is>
      </c>
    </row>
    <row r="455">
      <c r="A455" s="52" t="n">
        <v>46373</v>
      </c>
      <c r="B455" s="4" t="inlineStr">
        <is>
          <t>Quinta</t>
        </is>
      </c>
      <c r="C455" s="4" t="n">
        <v>453</v>
      </c>
      <c r="D455" s="8" t="inlineStr">
        <is>
          <t>ESTRUTURA DE DADOS E ALGORITMOS</t>
        </is>
      </c>
      <c r="E455" s="9" t="inlineStr">
        <is>
          <t>REVISÃO 24H</t>
        </is>
      </c>
      <c r="F455" s="8" t="inlineStr">
        <is>
          <t>Listas lineares, encadeadas, vetores e matrizes</t>
        </is>
      </c>
      <c r="G455" s="9" t="inlineStr"/>
      <c r="H455" s="9" t="n"/>
      <c r="I455" s="9" t="n"/>
      <c r="J455" s="35" t="inlineStr">
        <is>
          <t>A FAZER</t>
        </is>
      </c>
    </row>
    <row r="456">
      <c r="A456" s="53" t="n">
        <v>46374</v>
      </c>
      <c r="B456" s="6" t="inlineStr">
        <is>
          <t>Sexta</t>
        </is>
      </c>
      <c r="C456" s="6" t="n">
        <v>454</v>
      </c>
      <c r="D456" s="5" t="inlineStr">
        <is>
          <t>LÍNGUA PORTUGUESA</t>
        </is>
      </c>
      <c r="E456" s="6" t="inlineStr">
        <is>
          <t>ESTUDO</t>
        </is>
      </c>
      <c r="F456" s="5" t="inlineStr">
        <is>
          <t>Colocação pronominal, pontuação e variação linguística</t>
        </is>
      </c>
      <c r="G456" s="6" t="n">
        <v>120</v>
      </c>
      <c r="H456" s="6" t="n"/>
      <c r="I456" s="6" t="n"/>
      <c r="J456" s="35" t="inlineStr">
        <is>
          <t>A FAZER</t>
        </is>
      </c>
    </row>
    <row r="457">
      <c r="A457" s="53" t="n">
        <v>46374</v>
      </c>
      <c r="B457" s="6" t="inlineStr">
        <is>
          <t>Sexta</t>
        </is>
      </c>
      <c r="C457" s="6" t="n">
        <v>455</v>
      </c>
      <c r="D457" s="16" t="inlineStr">
        <is>
          <t>ENGENHARIA DE SOFTWARE</t>
        </is>
      </c>
      <c r="E457" s="17" t="inlineStr">
        <is>
          <t>REVISÃO 30 DIAS</t>
        </is>
      </c>
      <c r="F457" s="16" t="inlineStr">
        <is>
          <t>Gerenciamento de ciclo de vida de aplicações; Integração contínua</t>
        </is>
      </c>
      <c r="G457" s="17" t="inlineStr"/>
      <c r="H457" s="17" t="n"/>
      <c r="I457" s="17" t="n"/>
      <c r="J457" s="35" t="inlineStr">
        <is>
          <t>A FAZER</t>
        </is>
      </c>
    </row>
    <row r="458">
      <c r="A458" s="53" t="n">
        <v>46374</v>
      </c>
      <c r="B458" s="6" t="inlineStr">
        <is>
          <t>Sexta</t>
        </is>
      </c>
      <c r="C458" s="6" t="n">
        <v>456</v>
      </c>
      <c r="D458" s="14" t="inlineStr">
        <is>
          <t>LINGUAGENS DE PROGRAMAÇÃO</t>
        </is>
      </c>
      <c r="E458" s="15" t="inlineStr">
        <is>
          <t>REVISÃO 15 DIAS</t>
        </is>
      </c>
      <c r="F458" s="14" t="inlineStr">
        <is>
          <t>HTML5, CSS3 e JavaScript</t>
        </is>
      </c>
      <c r="G458" s="15" t="inlineStr"/>
      <c r="H458" s="15" t="n"/>
      <c r="I458" s="15" t="n"/>
      <c r="J458" s="35" t="inlineStr">
        <is>
          <t>A FAZER</t>
        </is>
      </c>
    </row>
    <row r="459">
      <c r="A459" s="53" t="n">
        <v>46374</v>
      </c>
      <c r="B459" s="6" t="inlineStr">
        <is>
          <t>Sexta</t>
        </is>
      </c>
      <c r="C459" s="6" t="n">
        <v>457</v>
      </c>
      <c r="D459" s="12" t="inlineStr">
        <is>
          <t>QUALIDADE DE SOFTWARE</t>
        </is>
      </c>
      <c r="E459" s="13" t="inlineStr">
        <is>
          <t>REVISÃO 7 DIAS</t>
        </is>
      </c>
      <c r="F459" s="12" t="inlineStr">
        <is>
          <t>Garantia da qualidade e métricas de código</t>
        </is>
      </c>
      <c r="G459" s="13" t="inlineStr"/>
      <c r="H459" s="13" t="n"/>
      <c r="I459" s="13" t="n"/>
      <c r="J459" s="35" t="inlineStr">
        <is>
          <t>A FAZER</t>
        </is>
      </c>
    </row>
    <row r="460">
      <c r="A460" s="53" t="n">
        <v>46374</v>
      </c>
      <c r="B460" s="6" t="inlineStr">
        <is>
          <t>Sexta</t>
        </is>
      </c>
      <c r="C460" s="6" t="n">
        <v>458</v>
      </c>
      <c r="D460" s="8" t="inlineStr">
        <is>
          <t>ARQUITETURA / BANCO DE DADOS</t>
        </is>
      </c>
      <c r="E460" s="9" t="inlineStr">
        <is>
          <t>REVISÃO 24H</t>
        </is>
      </c>
      <c r="F460" s="8" t="inlineStr">
        <is>
          <t>SQL: DDL, DML, DCL, DTL</t>
        </is>
      </c>
      <c r="G460" s="9" t="inlineStr"/>
      <c r="H460" s="9" t="n"/>
      <c r="I460" s="9" t="n"/>
      <c r="J460" s="35" t="inlineStr">
        <is>
          <t>A FAZER</t>
        </is>
      </c>
    </row>
    <row r="461">
      <c r="A461" s="52" t="n">
        <v>46375</v>
      </c>
      <c r="B461" s="4" t="inlineStr">
        <is>
          <t>Sábado</t>
        </is>
      </c>
      <c r="C461" s="4" t="n">
        <v>459</v>
      </c>
      <c r="D461" s="5" t="inlineStr">
        <is>
          <t>DIREITO CONSTITUCIONAL</t>
        </is>
      </c>
      <c r="E461" s="6" t="inlineStr">
        <is>
          <t>ESTUDO</t>
        </is>
      </c>
      <c r="F461" s="5" t="inlineStr">
        <is>
          <t>Administração Pública e Servidores Públicos (CF)</t>
        </is>
      </c>
      <c r="G461" s="6" t="n">
        <v>120</v>
      </c>
      <c r="H461" s="6" t="n"/>
      <c r="I461" s="6" t="n"/>
      <c r="J461" s="35" t="inlineStr">
        <is>
          <t>A FAZER</t>
        </is>
      </c>
    </row>
    <row r="462">
      <c r="A462" s="52" t="n">
        <v>46375</v>
      </c>
      <c r="B462" s="4" t="inlineStr">
        <is>
          <t>Sábado</t>
        </is>
      </c>
      <c r="C462" s="4" t="n">
        <v>460</v>
      </c>
      <c r="D462" s="5" t="inlineStr">
        <is>
          <t>DIREITO ADMINISTRATIVO</t>
        </is>
      </c>
      <c r="E462" s="6" t="inlineStr">
        <is>
          <t>ESTUDO</t>
        </is>
      </c>
      <c r="F462" s="5" t="inlineStr">
        <is>
          <t>Processo Administrativo (Lei 9.784/99) e LAI (Lei 12.527/2011)</t>
        </is>
      </c>
      <c r="G462" s="6" t="n">
        <v>120</v>
      </c>
      <c r="H462" s="6" t="n"/>
      <c r="I462" s="6" t="n"/>
      <c r="J462" s="35" t="inlineStr">
        <is>
          <t>A FAZER</t>
        </is>
      </c>
    </row>
    <row r="463">
      <c r="A463" s="52" t="n">
        <v>46375</v>
      </c>
      <c r="B463" s="4" t="inlineStr">
        <is>
          <t>Sábado</t>
        </is>
      </c>
      <c r="C463" s="4" t="n">
        <v>461</v>
      </c>
      <c r="D463" s="16" t="inlineStr">
        <is>
          <t>ARQUITETURA DE SOFTWARE</t>
        </is>
      </c>
      <c r="E463" s="17" t="inlineStr">
        <is>
          <t>REVISÃO 30 DIAS</t>
        </is>
      </c>
      <c r="F463" s="16" t="inlineStr">
        <is>
          <t>Padrões de projeto (design patterns) e anti-patterns</t>
        </is>
      </c>
      <c r="G463" s="17" t="inlineStr"/>
      <c r="H463" s="17" t="n"/>
      <c r="I463" s="17" t="n"/>
      <c r="J463" s="35" t="inlineStr">
        <is>
          <t>A FAZER</t>
        </is>
      </c>
    </row>
    <row r="464">
      <c r="A464" s="52" t="n">
        <v>46375</v>
      </c>
      <c r="B464" s="4" t="inlineStr">
        <is>
          <t>Sábado</t>
        </is>
      </c>
      <c r="C464" s="4" t="n">
        <v>462</v>
      </c>
      <c r="D464" s="14" t="inlineStr">
        <is>
          <t>ESTRUTURA DE DADOS E ALGORITMOS</t>
        </is>
      </c>
      <c r="E464" s="15" t="inlineStr">
        <is>
          <t>REVISÃO 15 DIAS</t>
        </is>
      </c>
      <c r="F464" s="14" t="inlineStr">
        <is>
          <t>Sub-rotinas: chamada por endereço, referência e valor</t>
        </is>
      </c>
      <c r="G464" s="15" t="inlineStr"/>
      <c r="H464" s="15" t="n"/>
      <c r="I464" s="15" t="n"/>
      <c r="J464" s="35" t="inlineStr">
        <is>
          <t>A FAZER</t>
        </is>
      </c>
    </row>
    <row r="465">
      <c r="A465" s="52" t="n">
        <v>46375</v>
      </c>
      <c r="B465" s="4" t="inlineStr">
        <is>
          <t>Sábado</t>
        </is>
      </c>
      <c r="C465" s="4" t="n">
        <v>463</v>
      </c>
      <c r="D465" s="12" t="inlineStr">
        <is>
          <t>ESTRUTURA DE DADOS E ALGORITMOS</t>
        </is>
      </c>
      <c r="E465" s="13" t="inlineStr">
        <is>
          <t>REVISÃO 7 DIAS</t>
        </is>
      </c>
      <c r="F465" s="12" t="inlineStr">
        <is>
          <t>Algoritmos de pesquisa e ordenação</t>
        </is>
      </c>
      <c r="G465" s="13" t="inlineStr"/>
      <c r="H465" s="13" t="n"/>
      <c r="I465" s="13" t="n"/>
      <c r="J465" s="35" t="inlineStr">
        <is>
          <t>A FAZER</t>
        </is>
      </c>
    </row>
    <row r="466">
      <c r="A466" s="52" t="n">
        <v>46375</v>
      </c>
      <c r="B466" s="4" t="inlineStr">
        <is>
          <t>Sábado</t>
        </is>
      </c>
      <c r="C466" s="4" t="n">
        <v>464</v>
      </c>
      <c r="D466" s="12" t="inlineStr">
        <is>
          <t>ARQUITETURA / BANCO DE DADOS</t>
        </is>
      </c>
      <c r="E466" s="13" t="inlineStr">
        <is>
          <t>REVISÃO 7 DIAS</t>
        </is>
      </c>
      <c r="F466" s="12" t="inlineStr">
        <is>
          <t>Modelagem dimensional e avaliação de modelos</t>
        </is>
      </c>
      <c r="G466" s="13" t="inlineStr"/>
      <c r="H466" s="13" t="n"/>
      <c r="I466" s="13" t="n"/>
      <c r="J466" s="35" t="inlineStr">
        <is>
          <t>A FAZER</t>
        </is>
      </c>
    </row>
    <row r="467">
      <c r="A467" s="52" t="n">
        <v>46375</v>
      </c>
      <c r="B467" s="4" t="inlineStr">
        <is>
          <t>Sábado</t>
        </is>
      </c>
      <c r="C467" s="4" t="n">
        <v>465</v>
      </c>
      <c r="D467" s="8" t="inlineStr">
        <is>
          <t>LÍNGUA PORTUGUESA</t>
        </is>
      </c>
      <c r="E467" s="9" t="inlineStr">
        <is>
          <t>REVISÃO 24H</t>
        </is>
      </c>
      <c r="F467" s="8" t="inlineStr">
        <is>
          <t>Colocação pronominal, pontuação e variação linguística</t>
        </is>
      </c>
      <c r="G467" s="9" t="inlineStr"/>
      <c r="H467" s="9" t="n"/>
      <c r="I467" s="9" t="n"/>
      <c r="J467" s="35" t="inlineStr">
        <is>
          <t>A FAZER</t>
        </is>
      </c>
    </row>
    <row r="468">
      <c r="A468" s="53" t="n">
        <v>46376</v>
      </c>
      <c r="B468" s="6" t="inlineStr">
        <is>
          <t>Domingo</t>
        </is>
      </c>
      <c r="C468" s="6" t="n">
        <v>466</v>
      </c>
      <c r="D468" s="5" t="inlineStr">
        <is>
          <t>LEGISLAÇÃO INSTITUCIONAL MP</t>
        </is>
      </c>
      <c r="E468" s="6" t="inlineStr">
        <is>
          <t>ESTUDO</t>
        </is>
      </c>
      <c r="F468" s="5" t="inlineStr">
        <is>
          <t>Estatuto dos Funcionários Públicos do MS (Lei 1.102/1990)</t>
        </is>
      </c>
      <c r="G468" s="6" t="n">
        <v>120</v>
      </c>
      <c r="H468" s="6" t="n"/>
      <c r="I468" s="6" t="n"/>
      <c r="J468" s="35" t="inlineStr">
        <is>
          <t>A FAZER</t>
        </is>
      </c>
    </row>
    <row r="469">
      <c r="A469" s="53" t="n">
        <v>46376</v>
      </c>
      <c r="B469" s="6" t="inlineStr">
        <is>
          <t>Domingo</t>
        </is>
      </c>
      <c r="C469" s="6" t="n">
        <v>467</v>
      </c>
      <c r="D469" s="10" t="inlineStr">
        <is>
          <t>ENGENHARIA DE SOFTWARE</t>
        </is>
      </c>
      <c r="E469" s="11" t="inlineStr">
        <is>
          <t>SIMULADO</t>
        </is>
      </c>
      <c r="F469" s="10" t="inlineStr">
        <is>
          <t>Simulado misto (questões de todas as matérias da semana)</t>
        </is>
      </c>
      <c r="G469" s="11" t="n">
        <v>120</v>
      </c>
      <c r="H469" s="11" t="n"/>
      <c r="I469" s="11" t="n"/>
      <c r="J469" s="35" t="inlineStr">
        <is>
          <t>A FAZER</t>
        </is>
      </c>
    </row>
    <row r="470">
      <c r="A470" s="53" t="n">
        <v>46376</v>
      </c>
      <c r="B470" s="6" t="inlineStr">
        <is>
          <t>Domingo</t>
        </is>
      </c>
      <c r="C470" s="6" t="n">
        <v>468</v>
      </c>
      <c r="D470" s="14" t="inlineStr">
        <is>
          <t>ARQUITETURA / BANCO DE DADOS</t>
        </is>
      </c>
      <c r="E470" s="15" t="inlineStr">
        <is>
          <t>REVISÃO 15 DIAS</t>
        </is>
      </c>
      <c r="F470" s="14" t="inlineStr">
        <is>
          <t>Normalização, integridade referencial e metadados</t>
        </is>
      </c>
      <c r="G470" s="15" t="inlineStr"/>
      <c r="H470" s="15" t="n"/>
      <c r="I470" s="15" t="n"/>
      <c r="J470" s="35" t="inlineStr">
        <is>
          <t>A FAZER</t>
        </is>
      </c>
    </row>
    <row r="471">
      <c r="A471" s="53" t="n">
        <v>46376</v>
      </c>
      <c r="B471" s="6" t="inlineStr">
        <is>
          <t>Domingo</t>
        </is>
      </c>
      <c r="C471" s="6" t="n">
        <v>469</v>
      </c>
      <c r="D471" s="14" t="inlineStr">
        <is>
          <t>LÍNGUA PORTUGUESA</t>
        </is>
      </c>
      <c r="E471" s="15" t="inlineStr">
        <is>
          <t>REVISÃO 15 DIAS</t>
        </is>
      </c>
      <c r="F471" s="14" t="inlineStr">
        <is>
          <t>Sintaxe (período simples e composto); concordância e regência</t>
        </is>
      </c>
      <c r="G471" s="15" t="inlineStr"/>
      <c r="H471" s="15" t="n"/>
      <c r="I471" s="15" t="n"/>
      <c r="J471" s="35" t="inlineStr">
        <is>
          <t>A FAZER</t>
        </is>
      </c>
    </row>
    <row r="472">
      <c r="A472" s="53" t="n">
        <v>46376</v>
      </c>
      <c r="B472" s="6" t="inlineStr">
        <is>
          <t>Domingo</t>
        </is>
      </c>
      <c r="C472" s="6" t="n">
        <v>470</v>
      </c>
      <c r="D472" s="12" t="inlineStr">
        <is>
          <t>SEGURANÇA DA INFORMAÇÃO</t>
        </is>
      </c>
      <c r="E472" s="13" t="inlineStr">
        <is>
          <t>REVISÃO 7 DIAS</t>
        </is>
      </c>
      <c r="F472" s="12" t="inlineStr">
        <is>
          <t>Desenvolvimento seguro: SAST / DAST / IAST</t>
        </is>
      </c>
      <c r="G472" s="13" t="inlineStr"/>
      <c r="H472" s="13" t="n"/>
      <c r="I472" s="13" t="n"/>
      <c r="J472" s="35" t="inlineStr">
        <is>
          <t>A FAZER</t>
        </is>
      </c>
    </row>
    <row r="473">
      <c r="A473" s="53" t="n">
        <v>46376</v>
      </c>
      <c r="B473" s="6" t="inlineStr">
        <is>
          <t>Domingo</t>
        </is>
      </c>
      <c r="C473" s="6" t="n">
        <v>471</v>
      </c>
      <c r="D473" s="8" t="inlineStr">
        <is>
          <t>DIREITO CONSTITUCIONAL</t>
        </is>
      </c>
      <c r="E473" s="9" t="inlineStr">
        <is>
          <t>REVISÃO 24H</t>
        </is>
      </c>
      <c r="F473" s="8" t="inlineStr">
        <is>
          <t>Administração Pública e Servidores Públicos (CF)</t>
        </is>
      </c>
      <c r="G473" s="9" t="inlineStr"/>
      <c r="H473" s="9" t="n"/>
      <c r="I473" s="9" t="n"/>
      <c r="J473" s="35" t="inlineStr">
        <is>
          <t>A FAZER</t>
        </is>
      </c>
    </row>
    <row r="474">
      <c r="A474" s="53" t="n">
        <v>46376</v>
      </c>
      <c r="B474" s="6" t="inlineStr">
        <is>
          <t>Domingo</t>
        </is>
      </c>
      <c r="C474" s="6" t="n">
        <v>472</v>
      </c>
      <c r="D474" s="8" t="inlineStr">
        <is>
          <t>DIREITO ADMINISTRATIVO</t>
        </is>
      </c>
      <c r="E474" s="9" t="inlineStr">
        <is>
          <t>REVISÃO 24H</t>
        </is>
      </c>
      <c r="F474" s="8" t="inlineStr">
        <is>
          <t>Processo Administrativo (Lei 9.784/99) e LAI (Lei 12.527/2011)</t>
        </is>
      </c>
      <c r="G474" s="9" t="inlineStr"/>
      <c r="H474" s="9" t="n"/>
      <c r="I474" s="9" t="n"/>
      <c r="J474" s="35" t="inlineStr">
        <is>
          <t>A FAZER</t>
        </is>
      </c>
    </row>
    <row r="475">
      <c r="A475" s="52" t="n">
        <v>46377</v>
      </c>
      <c r="B475" s="4" t="inlineStr">
        <is>
          <t>Segunda</t>
        </is>
      </c>
      <c r="C475" s="4" t="n">
        <v>473</v>
      </c>
      <c r="D475" s="5" t="inlineStr">
        <is>
          <t>ARQUITETURA DE SOFTWARE</t>
        </is>
      </c>
      <c r="E475" s="6" t="inlineStr">
        <is>
          <t>ESTUDO</t>
        </is>
      </c>
      <c r="F475" s="5" t="inlineStr">
        <is>
          <t>Padrão MVC; Microsserviços; Arquitetura orientada a eventos</t>
        </is>
      </c>
      <c r="G475" s="6" t="n">
        <v>120</v>
      </c>
      <c r="H475" s="6" t="n"/>
      <c r="I475" s="6" t="n"/>
      <c r="J475" s="35" t="inlineStr">
        <is>
          <t>A FAZER</t>
        </is>
      </c>
    </row>
    <row r="476">
      <c r="A476" s="52" t="n">
        <v>46377</v>
      </c>
      <c r="B476" s="4" t="inlineStr">
        <is>
          <t>Segunda</t>
        </is>
      </c>
      <c r="C476" s="4" t="n">
        <v>474</v>
      </c>
      <c r="D476" s="16" t="inlineStr">
        <is>
          <t>LINGUAGENS DE PROGRAMAÇÃO</t>
        </is>
      </c>
      <c r="E476" s="17" t="inlineStr">
        <is>
          <t>REVISÃO 30 DIAS</t>
        </is>
      </c>
      <c r="F476" s="16" t="inlineStr">
        <is>
          <t>Coleções, tipos genéricos, threads e escalonamento</t>
        </is>
      </c>
      <c r="G476" s="17" t="inlineStr"/>
      <c r="H476" s="17" t="n"/>
      <c r="I476" s="17" t="n"/>
      <c r="J476" s="35" t="inlineStr">
        <is>
          <t>A FAZER</t>
        </is>
      </c>
    </row>
    <row r="477">
      <c r="A477" s="52" t="n">
        <v>46377</v>
      </c>
      <c r="B477" s="4" t="inlineStr">
        <is>
          <t>Segunda</t>
        </is>
      </c>
      <c r="C477" s="4" t="n">
        <v>475</v>
      </c>
      <c r="D477" s="16" t="inlineStr">
        <is>
          <t>ESTRUTURA DE DADOS E ALGORITMOS</t>
        </is>
      </c>
      <c r="E477" s="17" t="inlineStr">
        <is>
          <t>REVISÃO 30 DIAS</t>
        </is>
      </c>
      <c r="F477" s="16" t="inlineStr">
        <is>
          <t>Programação recursiva</t>
        </is>
      </c>
      <c r="G477" s="17" t="inlineStr"/>
      <c r="H477" s="17" t="n"/>
      <c r="I477" s="17" t="n"/>
      <c r="J477" s="35" t="inlineStr">
        <is>
          <t>A FAZER</t>
        </is>
      </c>
    </row>
    <row r="478">
      <c r="A478" s="52" t="n">
        <v>46377</v>
      </c>
      <c r="B478" s="4" t="inlineStr">
        <is>
          <t>Segunda</t>
        </is>
      </c>
      <c r="C478" s="4" t="n">
        <v>476</v>
      </c>
      <c r="D478" s="14" t="inlineStr">
        <is>
          <t>DIREITO CONSTITUCIONAL</t>
        </is>
      </c>
      <c r="E478" s="15" t="inlineStr">
        <is>
          <t>REVISÃO 15 DIAS</t>
        </is>
      </c>
      <c r="F478" s="14" t="inlineStr">
        <is>
          <t>Controle de Constitucionalidade</t>
        </is>
      </c>
      <c r="G478" s="15" t="inlineStr"/>
      <c r="H478" s="15" t="n"/>
      <c r="I478" s="15" t="n"/>
      <c r="J478" s="35" t="inlineStr">
        <is>
          <t>A FAZER</t>
        </is>
      </c>
    </row>
    <row r="479">
      <c r="A479" s="52" t="n">
        <v>46377</v>
      </c>
      <c r="B479" s="4" t="inlineStr">
        <is>
          <t>Segunda</t>
        </is>
      </c>
      <c r="C479" s="4" t="n">
        <v>477</v>
      </c>
      <c r="D479" s="12" t="inlineStr">
        <is>
          <t>ARQUITETURA DE SOFTWARE</t>
        </is>
      </c>
      <c r="E479" s="13" t="inlineStr">
        <is>
          <t>REVISÃO 7 DIAS</t>
        </is>
      </c>
      <c r="F479" s="12" t="inlineStr">
        <is>
          <t>Refatoração, modernização e componentização de software</t>
        </is>
      </c>
      <c r="G479" s="13" t="inlineStr"/>
      <c r="H479" s="13" t="n"/>
      <c r="I479" s="13" t="n"/>
      <c r="J479" s="35" t="inlineStr">
        <is>
          <t>A FAZER</t>
        </is>
      </c>
    </row>
    <row r="480">
      <c r="A480" s="52" t="n">
        <v>46377</v>
      </c>
      <c r="B480" s="4" t="inlineStr">
        <is>
          <t>Segunda</t>
        </is>
      </c>
      <c r="C480" s="4" t="n">
        <v>478</v>
      </c>
      <c r="D480" s="8" t="inlineStr">
        <is>
          <t>LEGISLAÇÃO INSTITUCIONAL MP</t>
        </is>
      </c>
      <c r="E480" s="9" t="inlineStr">
        <is>
          <t>REVISÃO 24H</t>
        </is>
      </c>
      <c r="F480" s="8" t="inlineStr">
        <is>
          <t>Estatuto dos Funcionários Públicos do MS (Lei 1.102/1990)</t>
        </is>
      </c>
      <c r="G480" s="9" t="inlineStr"/>
      <c r="H480" s="9" t="n"/>
      <c r="I480" s="9" t="n"/>
      <c r="J480" s="35" t="inlineStr">
        <is>
          <t>A FAZER</t>
        </is>
      </c>
    </row>
    <row r="481">
      <c r="A481" s="53" t="n">
        <v>46378</v>
      </c>
      <c r="B481" s="6" t="inlineStr">
        <is>
          <t>Terça</t>
        </is>
      </c>
      <c r="C481" s="6" t="n">
        <v>479</v>
      </c>
      <c r="D481" s="5" t="inlineStr">
        <is>
          <t>LINGUAGENS DE PROGRAMAÇÃO</t>
        </is>
      </c>
      <c r="E481" s="6" t="inlineStr">
        <is>
          <t>ESTUDO</t>
        </is>
      </c>
      <c r="F481" s="5" t="inlineStr">
        <is>
          <t>Orientação a Objetos: pilares e características estruturais</t>
        </is>
      </c>
      <c r="G481" s="6" t="n">
        <v>120</v>
      </c>
      <c r="H481" s="6" t="n"/>
      <c r="I481" s="6" t="n"/>
      <c r="J481" s="35" t="inlineStr">
        <is>
          <t>A FAZER</t>
        </is>
      </c>
    </row>
    <row r="482">
      <c r="A482" s="53" t="n">
        <v>46378</v>
      </c>
      <c r="B482" s="6" t="inlineStr">
        <is>
          <t>Terça</t>
        </is>
      </c>
      <c r="C482" s="6" t="n">
        <v>480</v>
      </c>
      <c r="D482" s="16" t="inlineStr">
        <is>
          <t>ARQUITETURA / BANCO DE DADOS</t>
        </is>
      </c>
      <c r="E482" s="17" t="inlineStr">
        <is>
          <t>REVISÃO 30 DIAS</t>
        </is>
      </c>
      <c r="F482" s="16" t="inlineStr">
        <is>
          <t>Modelagem de dados: conceitual, lógica e física</t>
        </is>
      </c>
      <c r="G482" s="17" t="inlineStr"/>
      <c r="H482" s="17" t="n"/>
      <c r="I482" s="17" t="n"/>
      <c r="J482" s="35" t="inlineStr">
        <is>
          <t>A FAZER</t>
        </is>
      </c>
    </row>
    <row r="483">
      <c r="A483" s="53" t="n">
        <v>46378</v>
      </c>
      <c r="B483" s="6" t="inlineStr">
        <is>
          <t>Terça</t>
        </is>
      </c>
      <c r="C483" s="6" t="n">
        <v>481</v>
      </c>
      <c r="D483" s="14" t="inlineStr">
        <is>
          <t>LEGISLAÇÃO INSTITUCIONAL MP</t>
        </is>
      </c>
      <c r="E483" s="15" t="inlineStr">
        <is>
          <t>REVISÃO 15 DIAS</t>
        </is>
      </c>
      <c r="F483" s="14" t="inlineStr">
        <is>
          <t>Lei Orgânica do MPMS (LC Estadual 72/1994)</t>
        </is>
      </c>
      <c r="G483" s="15" t="inlineStr"/>
      <c r="H483" s="15" t="n"/>
      <c r="I483" s="15" t="n"/>
      <c r="J483" s="35" t="inlineStr">
        <is>
          <t>A FAZER</t>
        </is>
      </c>
    </row>
    <row r="484">
      <c r="A484" s="53" t="n">
        <v>46378</v>
      </c>
      <c r="B484" s="6" t="inlineStr">
        <is>
          <t>Terça</t>
        </is>
      </c>
      <c r="C484" s="6" t="n">
        <v>482</v>
      </c>
      <c r="D484" s="12" t="inlineStr">
        <is>
          <t>LINGUAGENS DE PROGRAMAÇÃO</t>
        </is>
      </c>
      <c r="E484" s="13" t="inlineStr">
        <is>
          <t>REVISÃO 7 DIAS</t>
        </is>
      </c>
      <c r="F484" s="12" t="inlineStr">
        <is>
          <t>Java Core 8+ (sintaxe, streams, coleções)</t>
        </is>
      </c>
      <c r="G484" s="13" t="inlineStr"/>
      <c r="H484" s="13" t="n"/>
      <c r="I484" s="13" t="n"/>
      <c r="J484" s="35" t="inlineStr">
        <is>
          <t>A FAZER</t>
        </is>
      </c>
    </row>
    <row r="485">
      <c r="A485" s="53" t="n">
        <v>46378</v>
      </c>
      <c r="B485" s="6" t="inlineStr">
        <is>
          <t>Terça</t>
        </is>
      </c>
      <c r="C485" s="6" t="n">
        <v>483</v>
      </c>
      <c r="D485" s="8" t="inlineStr">
        <is>
          <t>ARQUITETURA DE SOFTWARE</t>
        </is>
      </c>
      <c r="E485" s="9" t="inlineStr">
        <is>
          <t>REVISÃO 24H</t>
        </is>
      </c>
      <c r="F485" s="8" t="inlineStr">
        <is>
          <t>Padrão MVC; Microsserviços; Arquitetura orientada a eventos</t>
        </is>
      </c>
      <c r="G485" s="9" t="inlineStr"/>
      <c r="H485" s="9" t="n"/>
      <c r="I485" s="9" t="n"/>
      <c r="J485" s="35" t="inlineStr">
        <is>
          <t>A FAZER</t>
        </is>
      </c>
    </row>
    <row r="486">
      <c r="A486" s="52" t="n">
        <v>46379</v>
      </c>
      <c r="B486" s="4" t="inlineStr">
        <is>
          <t>Quarta</t>
        </is>
      </c>
      <c r="C486" s="4" t="n">
        <v>484</v>
      </c>
      <c r="D486" s="5" t="inlineStr">
        <is>
          <t>QUALIDADE DE SOFTWARE</t>
        </is>
      </c>
      <c r="E486" s="6" t="inlineStr">
        <is>
          <t>ESTUDO</t>
        </is>
      </c>
      <c r="F486" s="5" t="inlineStr">
        <is>
          <t>Testes: unitário, integração, funcional, aceitação</t>
        </is>
      </c>
      <c r="G486" s="6" t="n">
        <v>120</v>
      </c>
      <c r="H486" s="6" t="n"/>
      <c r="I486" s="6" t="n"/>
      <c r="J486" s="35" t="inlineStr">
        <is>
          <t>A FAZER</t>
        </is>
      </c>
    </row>
    <row r="487">
      <c r="A487" s="52" t="n">
        <v>46379</v>
      </c>
      <c r="B487" s="4" t="inlineStr">
        <is>
          <t>Quarta</t>
        </is>
      </c>
      <c r="C487" s="4" t="n">
        <v>485</v>
      </c>
      <c r="D487" s="16" t="inlineStr">
        <is>
          <t>DIREITO CONSTITUCIONAL</t>
        </is>
      </c>
      <c r="E487" s="17" t="inlineStr">
        <is>
          <t>REVISÃO 30 DIAS</t>
        </is>
      </c>
      <c r="F487" s="16" t="inlineStr">
        <is>
          <t>Organização do Estado e dos Poderes</t>
        </is>
      </c>
      <c r="G487" s="17" t="inlineStr"/>
      <c r="H487" s="17" t="n"/>
      <c r="I487" s="17" t="n"/>
      <c r="J487" s="35" t="inlineStr">
        <is>
          <t>A FAZER</t>
        </is>
      </c>
    </row>
    <row r="488">
      <c r="A488" s="52" t="n">
        <v>46379</v>
      </c>
      <c r="B488" s="4" t="inlineStr">
        <is>
          <t>Quarta</t>
        </is>
      </c>
      <c r="C488" s="4" t="n">
        <v>486</v>
      </c>
      <c r="D488" s="14" t="inlineStr">
        <is>
          <t>ENGENHARIA DE SOFTWARE</t>
        </is>
      </c>
      <c r="E488" s="15" t="inlineStr">
        <is>
          <t>REVISÃO 15 DIAS</t>
        </is>
      </c>
      <c r="F488" s="14" t="inlineStr">
        <is>
          <t>DevOps e CI/CD (conceitos e ferramentas)</t>
        </is>
      </c>
      <c r="G488" s="15" t="inlineStr"/>
      <c r="H488" s="15" t="n"/>
      <c r="I488" s="15" t="n"/>
      <c r="J488" s="35" t="inlineStr">
        <is>
          <t>A FAZER</t>
        </is>
      </c>
    </row>
    <row r="489">
      <c r="A489" s="52" t="n">
        <v>46379</v>
      </c>
      <c r="B489" s="4" t="inlineStr">
        <is>
          <t>Quarta</t>
        </is>
      </c>
      <c r="C489" s="4" t="n">
        <v>487</v>
      </c>
      <c r="D489" s="12" t="inlineStr">
        <is>
          <t>ESTRUTURA DE DADOS E ALGORITMOS</t>
        </is>
      </c>
      <c r="E489" s="13" t="inlineStr">
        <is>
          <t>REVISÃO 7 DIAS</t>
        </is>
      </c>
      <c r="F489" s="12" t="inlineStr">
        <is>
          <t>Listas lineares, encadeadas, vetores e matrizes</t>
        </is>
      </c>
      <c r="G489" s="13" t="inlineStr"/>
      <c r="H489" s="13" t="n"/>
      <c r="I489" s="13" t="n"/>
      <c r="J489" s="35" t="inlineStr">
        <is>
          <t>A FAZER</t>
        </is>
      </c>
    </row>
    <row r="490">
      <c r="A490" s="52" t="n">
        <v>46379</v>
      </c>
      <c r="B490" s="4" t="inlineStr">
        <is>
          <t>Quarta</t>
        </is>
      </c>
      <c r="C490" s="4" t="n">
        <v>488</v>
      </c>
      <c r="D490" s="8" t="inlineStr">
        <is>
          <t>LINGUAGENS DE PROGRAMAÇÃO</t>
        </is>
      </c>
      <c r="E490" s="9" t="inlineStr">
        <is>
          <t>REVISÃO 24H</t>
        </is>
      </c>
      <c r="F490" s="8" t="inlineStr">
        <is>
          <t>Orientação a Objetos: pilares e características estruturais</t>
        </is>
      </c>
      <c r="G490" s="9" t="inlineStr"/>
      <c r="H490" s="9" t="n"/>
      <c r="I490" s="9" t="n"/>
      <c r="J490" s="35" t="inlineStr">
        <is>
          <t>A FAZER</t>
        </is>
      </c>
    </row>
    <row r="491">
      <c r="A491" s="53" t="n">
        <v>46380</v>
      </c>
      <c r="B491" s="6" t="inlineStr">
        <is>
          <t>Quinta</t>
        </is>
      </c>
      <c r="C491" s="6" t="n">
        <v>489</v>
      </c>
      <c r="D491" s="16" t="inlineStr">
        <is>
          <t>DIREITO ADMINISTRATIVO</t>
        </is>
      </c>
      <c r="E491" s="17" t="inlineStr">
        <is>
          <t>REVISÃO 30 DIAS</t>
        </is>
      </c>
      <c r="F491" s="16" t="inlineStr">
        <is>
          <t>Improbidade Administrativa</t>
        </is>
      </c>
      <c r="G491" s="17" t="inlineStr"/>
      <c r="H491" s="17" t="n"/>
      <c r="I491" s="17" t="n"/>
      <c r="J491" s="35" t="inlineStr">
        <is>
          <t>A FAZER</t>
        </is>
      </c>
    </row>
    <row r="492">
      <c r="A492" s="53" t="n">
        <v>46380</v>
      </c>
      <c r="B492" s="6" t="inlineStr">
        <is>
          <t>Quinta</t>
        </is>
      </c>
      <c r="C492" s="6" t="n">
        <v>490</v>
      </c>
      <c r="D492" s="14" t="inlineStr">
        <is>
          <t>ARQUITETURA DE SOFTWARE</t>
        </is>
      </c>
      <c r="E492" s="15" t="inlineStr">
        <is>
          <t>REVISÃO 15 DIAS</t>
        </is>
      </c>
      <c r="F492" s="14" t="inlineStr">
        <is>
          <t>Padrões SOAP, REST, XML, XSLT, WSDL, JSON, RMI</t>
        </is>
      </c>
      <c r="G492" s="15" t="inlineStr"/>
      <c r="H492" s="15" t="n"/>
      <c r="I492" s="15" t="n"/>
      <c r="J492" s="35" t="inlineStr">
        <is>
          <t>A FAZER</t>
        </is>
      </c>
    </row>
    <row r="493">
      <c r="A493" s="53" t="n">
        <v>46380</v>
      </c>
      <c r="B493" s="6" t="inlineStr">
        <is>
          <t>Quinta</t>
        </is>
      </c>
      <c r="C493" s="6" t="n">
        <v>491</v>
      </c>
      <c r="D493" s="12" t="inlineStr">
        <is>
          <t>ARQUITETURA / BANCO DE DADOS</t>
        </is>
      </c>
      <c r="E493" s="13" t="inlineStr">
        <is>
          <t>REVISÃO 7 DIAS</t>
        </is>
      </c>
      <c r="F493" s="12" t="inlineStr">
        <is>
          <t>SQL: DDL, DML, DCL, DTL</t>
        </is>
      </c>
      <c r="G493" s="13" t="inlineStr"/>
      <c r="H493" s="13" t="n"/>
      <c r="I493" s="13" t="n"/>
      <c r="J493" s="35" t="inlineStr">
        <is>
          <t>A FAZER</t>
        </is>
      </c>
    </row>
    <row r="494">
      <c r="A494" s="53" t="n">
        <v>46380</v>
      </c>
      <c r="B494" s="6" t="inlineStr">
        <is>
          <t>Quinta</t>
        </is>
      </c>
      <c r="C494" s="6" t="n">
        <v>492</v>
      </c>
      <c r="D494" s="8" t="inlineStr">
        <is>
          <t>QUALIDADE DE SOFTWARE</t>
        </is>
      </c>
      <c r="E494" s="9" t="inlineStr">
        <is>
          <t>REVISÃO 24H</t>
        </is>
      </c>
      <c r="F494" s="8" t="inlineStr">
        <is>
          <t>Testes: unitário, integração, funcional, aceitação</t>
        </is>
      </c>
      <c r="G494" s="9" t="inlineStr"/>
      <c r="H494" s="9" t="n"/>
      <c r="I494" s="9" t="n"/>
      <c r="J494" s="35" t="inlineStr">
        <is>
          <t>A FAZER</t>
        </is>
      </c>
    </row>
    <row r="495">
      <c r="A495" s="52" t="n">
        <v>46381</v>
      </c>
      <c r="B495" s="4" t="inlineStr">
        <is>
          <t>Sexta</t>
        </is>
      </c>
      <c r="C495" s="4" t="n">
        <v>493</v>
      </c>
      <c r="D495" s="16" t="inlineStr">
        <is>
          <t>LEGISLAÇÃO INSTITUCIONAL MP</t>
        </is>
      </c>
      <c r="E495" s="17" t="inlineStr">
        <is>
          <t>REVISÃO 30 DIAS</t>
        </is>
      </c>
      <c r="F495" s="16" t="inlineStr">
        <is>
          <t>Lei Orgânica Nacional do MP (Lei 8.625/93)</t>
        </is>
      </c>
      <c r="G495" s="17" t="inlineStr"/>
      <c r="H495" s="17" t="n"/>
      <c r="I495" s="17" t="n"/>
      <c r="J495" s="35" t="inlineStr">
        <is>
          <t>A FAZER</t>
        </is>
      </c>
    </row>
    <row r="496">
      <c r="A496" s="52" t="n">
        <v>46381</v>
      </c>
      <c r="B496" s="4" t="inlineStr">
        <is>
          <t>Sexta</t>
        </is>
      </c>
      <c r="C496" s="4" t="n">
        <v>494</v>
      </c>
      <c r="D496" s="14" t="inlineStr">
        <is>
          <t>LINGUAGENS DE PROGRAMAÇÃO</t>
        </is>
      </c>
      <c r="E496" s="15" t="inlineStr">
        <is>
          <t>REVISÃO 15 DIAS</t>
        </is>
      </c>
      <c r="F496" s="14" t="inlineStr">
        <is>
          <t>Python 3.7+ (sintaxe, estruturas, boas práticas)</t>
        </is>
      </c>
      <c r="G496" s="15" t="inlineStr"/>
      <c r="H496" s="15" t="n"/>
      <c r="I496" s="15" t="n"/>
      <c r="J496" s="35" t="inlineStr">
        <is>
          <t>A FAZER</t>
        </is>
      </c>
    </row>
    <row r="497">
      <c r="A497" s="52" t="n">
        <v>46381</v>
      </c>
      <c r="B497" s="4" t="inlineStr">
        <is>
          <t>Sexta</t>
        </is>
      </c>
      <c r="C497" s="4" t="n">
        <v>495</v>
      </c>
      <c r="D497" s="12" t="inlineStr">
        <is>
          <t>LÍNGUA PORTUGUESA</t>
        </is>
      </c>
      <c r="E497" s="13" t="inlineStr">
        <is>
          <t>REVISÃO 7 DIAS</t>
        </is>
      </c>
      <c r="F497" s="12" t="inlineStr">
        <is>
          <t>Colocação pronominal, pontuação e variação linguística</t>
        </is>
      </c>
      <c r="G497" s="13" t="inlineStr"/>
      <c r="H497" s="13" t="n"/>
      <c r="I497" s="13" t="n"/>
      <c r="J497" s="35" t="inlineStr">
        <is>
          <t>A FAZER</t>
        </is>
      </c>
    </row>
    <row r="498">
      <c r="A498" s="53" t="n">
        <v>46382</v>
      </c>
      <c r="B498" s="6" t="inlineStr">
        <is>
          <t>Sábado</t>
        </is>
      </c>
      <c r="C498" s="6" t="n">
        <v>496</v>
      </c>
      <c r="D498" s="5" t="inlineStr">
        <is>
          <t>ESTRUTURA DE DADOS E ALGORITMOS</t>
        </is>
      </c>
      <c r="E498" s="6" t="inlineStr">
        <is>
          <t>ESTUDO</t>
        </is>
      </c>
      <c r="F498" s="5" t="inlineStr">
        <is>
          <t>Programação recursiva</t>
        </is>
      </c>
      <c r="G498" s="6" t="n">
        <v>120</v>
      </c>
      <c r="H498" s="6" t="n"/>
      <c r="I498" s="6" t="n"/>
      <c r="J498" s="35" t="inlineStr">
        <is>
          <t>A FAZER</t>
        </is>
      </c>
    </row>
    <row r="499">
      <c r="A499" s="53" t="n">
        <v>46382</v>
      </c>
      <c r="B499" s="6" t="inlineStr">
        <is>
          <t>Sábado</t>
        </is>
      </c>
      <c r="C499" s="6" t="n">
        <v>497</v>
      </c>
      <c r="D499" s="5" t="inlineStr">
        <is>
          <t>ARQUITETURA / BANCO DE DADOS</t>
        </is>
      </c>
      <c r="E499" s="6" t="inlineStr">
        <is>
          <t>ESTUDO</t>
        </is>
      </c>
      <c r="F499" s="5" t="inlineStr">
        <is>
          <t>ACID, transações e performance de banco de dados</t>
        </is>
      </c>
      <c r="G499" s="6" t="n">
        <v>120</v>
      </c>
      <c r="H499" s="6" t="n"/>
      <c r="I499" s="6" t="n"/>
      <c r="J499" s="35" t="inlineStr">
        <is>
          <t>A FAZER</t>
        </is>
      </c>
    </row>
    <row r="500">
      <c r="A500" s="53" t="n">
        <v>46382</v>
      </c>
      <c r="B500" s="6" t="inlineStr">
        <is>
          <t>Sábado</t>
        </is>
      </c>
      <c r="C500" s="6" t="n">
        <v>498</v>
      </c>
      <c r="D500" s="16" t="inlineStr">
        <is>
          <t>ENGENHARIA DE SOFTWARE</t>
        </is>
      </c>
      <c r="E500" s="17" t="inlineStr">
        <is>
          <t>REVISÃO 30 DIAS</t>
        </is>
      </c>
      <c r="F500" s="16" t="inlineStr">
        <is>
          <t>Requisitos: elicitação, histórias de usuário, MVP, prototipação, personas</t>
        </is>
      </c>
      <c r="G500" s="17" t="inlineStr"/>
      <c r="H500" s="17" t="n"/>
      <c r="I500" s="17" t="n"/>
      <c r="J500" s="35" t="inlineStr">
        <is>
          <t>A FAZER</t>
        </is>
      </c>
    </row>
    <row r="501">
      <c r="A501" s="53" t="n">
        <v>46382</v>
      </c>
      <c r="B501" s="6" t="inlineStr">
        <is>
          <t>Sábado</t>
        </is>
      </c>
      <c r="C501" s="6" t="n">
        <v>499</v>
      </c>
      <c r="D501" s="14" t="inlineStr">
        <is>
          <t>QUALIDADE DE SOFTWARE</t>
        </is>
      </c>
      <c r="E501" s="15" t="inlineStr">
        <is>
          <t>REVISÃO 15 DIAS</t>
        </is>
      </c>
      <c r="F501" s="14" t="inlineStr">
        <is>
          <t>Garantia da qualidade e métricas de código</t>
        </is>
      </c>
      <c r="G501" s="15" t="inlineStr"/>
      <c r="H501" s="15" t="n"/>
      <c r="I501" s="15" t="n"/>
      <c r="J501" s="35" t="inlineStr">
        <is>
          <t>A FAZER</t>
        </is>
      </c>
    </row>
    <row r="502">
      <c r="A502" s="53" t="n">
        <v>46382</v>
      </c>
      <c r="B502" s="6" t="inlineStr">
        <is>
          <t>Sábado</t>
        </is>
      </c>
      <c r="C502" s="6" t="n">
        <v>500</v>
      </c>
      <c r="D502" s="12" t="inlineStr">
        <is>
          <t>DIREITO CONSTITUCIONAL</t>
        </is>
      </c>
      <c r="E502" s="13" t="inlineStr">
        <is>
          <t>REVISÃO 7 DIAS</t>
        </is>
      </c>
      <c r="F502" s="12" t="inlineStr">
        <is>
          <t>Administração Pública e Servidores Públicos (CF)</t>
        </is>
      </c>
      <c r="G502" s="13" t="inlineStr"/>
      <c r="H502" s="13" t="n"/>
      <c r="I502" s="13" t="n"/>
      <c r="J502" s="35" t="inlineStr">
        <is>
          <t>A FAZER</t>
        </is>
      </c>
    </row>
    <row r="503">
      <c r="A503" s="53" t="n">
        <v>46382</v>
      </c>
      <c r="B503" s="6" t="inlineStr">
        <is>
          <t>Sábado</t>
        </is>
      </c>
      <c r="C503" s="6" t="n">
        <v>501</v>
      </c>
      <c r="D503" s="12" t="inlineStr">
        <is>
          <t>DIREITO ADMINISTRATIVO</t>
        </is>
      </c>
      <c r="E503" s="13" t="inlineStr">
        <is>
          <t>REVISÃO 7 DIAS</t>
        </is>
      </c>
      <c r="F503" s="12" t="inlineStr">
        <is>
          <t>Processo Administrativo (Lei 9.784/99) e LAI (Lei 12.527/2011)</t>
        </is>
      </c>
      <c r="G503" s="13" t="inlineStr"/>
      <c r="H503" s="13" t="n"/>
      <c r="I503" s="13" t="n"/>
      <c r="J503" s="35" t="inlineStr">
        <is>
          <t>A FAZER</t>
        </is>
      </c>
    </row>
    <row r="504">
      <c r="A504" s="52" t="n">
        <v>46383</v>
      </c>
      <c r="B504" s="4" t="inlineStr">
        <is>
          <t>Domingo</t>
        </is>
      </c>
      <c r="C504" s="4" t="n">
        <v>502</v>
      </c>
      <c r="D504" s="5" t="inlineStr">
        <is>
          <t>SEGURANÇA DA INFORMAÇÃO</t>
        </is>
      </c>
      <c r="E504" s="6" t="inlineStr">
        <is>
          <t>ESTUDO</t>
        </is>
      </c>
      <c r="F504" s="5" t="inlineStr">
        <is>
          <t>SSO (Single Sign-On) e Autenticação Multifator (MFA)</t>
        </is>
      </c>
      <c r="G504" s="6" t="n">
        <v>120</v>
      </c>
      <c r="H504" s="6" t="n"/>
      <c r="I504" s="6" t="n"/>
      <c r="J504" s="35" t="inlineStr">
        <is>
          <t>A FAZER</t>
        </is>
      </c>
    </row>
    <row r="505">
      <c r="A505" s="52" t="n">
        <v>46383</v>
      </c>
      <c r="B505" s="4" t="inlineStr">
        <is>
          <t>Domingo</t>
        </is>
      </c>
      <c r="C505" s="4" t="n">
        <v>503</v>
      </c>
      <c r="D505" s="10" t="inlineStr">
        <is>
          <t>ENGENHARIA DE SOFTWARE</t>
        </is>
      </c>
      <c r="E505" s="11" t="inlineStr">
        <is>
          <t>SIMULADO</t>
        </is>
      </c>
      <c r="F505" s="10" t="inlineStr">
        <is>
          <t>Simulado misto (questões de todas as matérias da semana)</t>
        </is>
      </c>
      <c r="G505" s="11" t="n">
        <v>120</v>
      </c>
      <c r="H505" s="11" t="n"/>
      <c r="I505" s="11" t="n"/>
      <c r="J505" s="35" t="inlineStr">
        <is>
          <t>A FAZER</t>
        </is>
      </c>
    </row>
    <row r="506">
      <c r="A506" s="52" t="n">
        <v>46383</v>
      </c>
      <c r="B506" s="4" t="inlineStr">
        <is>
          <t>Domingo</t>
        </is>
      </c>
      <c r="C506" s="4" t="n">
        <v>504</v>
      </c>
      <c r="D506" s="16" t="inlineStr">
        <is>
          <t>ARQUITETURA DE SOFTWARE</t>
        </is>
      </c>
      <c r="E506" s="17" t="inlineStr">
        <is>
          <t>REVISÃO 30 DIAS</t>
        </is>
      </c>
      <c r="F506" s="16" t="inlineStr">
        <is>
          <t>Conteinerização; servidores de aplicação</t>
        </is>
      </c>
      <c r="G506" s="17" t="inlineStr"/>
      <c r="H506" s="17" t="n"/>
      <c r="I506" s="17" t="n"/>
      <c r="J506" s="35" t="inlineStr">
        <is>
          <t>A FAZER</t>
        </is>
      </c>
    </row>
    <row r="507">
      <c r="A507" s="52" t="n">
        <v>46383</v>
      </c>
      <c r="B507" s="4" t="inlineStr">
        <is>
          <t>Domingo</t>
        </is>
      </c>
      <c r="C507" s="4" t="n">
        <v>505</v>
      </c>
      <c r="D507" s="14" t="inlineStr">
        <is>
          <t>ESTRUTURA DE DADOS E ALGORITMOS</t>
        </is>
      </c>
      <c r="E507" s="15" t="inlineStr">
        <is>
          <t>REVISÃO 15 DIAS</t>
        </is>
      </c>
      <c r="F507" s="14" t="inlineStr">
        <is>
          <t>Algoritmos de pesquisa e ordenação</t>
        </is>
      </c>
      <c r="G507" s="15" t="inlineStr"/>
      <c r="H507" s="15" t="n"/>
      <c r="I507" s="15" t="n"/>
      <c r="J507" s="35" t="inlineStr">
        <is>
          <t>A FAZER</t>
        </is>
      </c>
    </row>
    <row r="508">
      <c r="A508" s="52" t="n">
        <v>46383</v>
      </c>
      <c r="B508" s="4" t="inlineStr">
        <is>
          <t>Domingo</t>
        </is>
      </c>
      <c r="C508" s="4" t="n">
        <v>506</v>
      </c>
      <c r="D508" s="14" t="inlineStr">
        <is>
          <t>ARQUITETURA / BANCO DE DADOS</t>
        </is>
      </c>
      <c r="E508" s="15" t="inlineStr">
        <is>
          <t>REVISÃO 15 DIAS</t>
        </is>
      </c>
      <c r="F508" s="14" t="inlineStr">
        <is>
          <t>Modelagem dimensional e avaliação de modelos</t>
        </is>
      </c>
      <c r="G508" s="15" t="inlineStr"/>
      <c r="H508" s="15" t="n"/>
      <c r="I508" s="15" t="n"/>
      <c r="J508" s="35" t="inlineStr">
        <is>
          <t>A FAZER</t>
        </is>
      </c>
    </row>
    <row r="509">
      <c r="A509" s="52" t="n">
        <v>46383</v>
      </c>
      <c r="B509" s="4" t="inlineStr">
        <is>
          <t>Domingo</t>
        </is>
      </c>
      <c r="C509" s="4" t="n">
        <v>507</v>
      </c>
      <c r="D509" s="12" t="inlineStr">
        <is>
          <t>LEGISLAÇÃO INSTITUCIONAL MP</t>
        </is>
      </c>
      <c r="E509" s="13" t="inlineStr">
        <is>
          <t>REVISÃO 7 DIAS</t>
        </is>
      </c>
      <c r="F509" s="12" t="inlineStr">
        <is>
          <t>Estatuto dos Funcionários Públicos do MS (Lei 1.102/1990)</t>
        </is>
      </c>
      <c r="G509" s="13" t="inlineStr"/>
      <c r="H509" s="13" t="n"/>
      <c r="I509" s="13" t="n"/>
      <c r="J509" s="35" t="inlineStr">
        <is>
          <t>A FAZER</t>
        </is>
      </c>
    </row>
    <row r="510">
      <c r="A510" s="52" t="n">
        <v>46383</v>
      </c>
      <c r="B510" s="4" t="inlineStr">
        <is>
          <t>Domingo</t>
        </is>
      </c>
      <c r="C510" s="4" t="n">
        <v>508</v>
      </c>
      <c r="D510" s="8" t="inlineStr">
        <is>
          <t>ESTRUTURA DE DADOS E ALGORITMOS</t>
        </is>
      </c>
      <c r="E510" s="9" t="inlineStr">
        <is>
          <t>REVISÃO 24H</t>
        </is>
      </c>
      <c r="F510" s="8" t="inlineStr">
        <is>
          <t>Programação recursiva</t>
        </is>
      </c>
      <c r="G510" s="9" t="inlineStr"/>
      <c r="H510" s="9" t="n"/>
      <c r="I510" s="9" t="n"/>
      <c r="J510" s="35" t="inlineStr">
        <is>
          <t>A FAZER</t>
        </is>
      </c>
    </row>
    <row r="511">
      <c r="A511" s="52" t="n">
        <v>46383</v>
      </c>
      <c r="B511" s="4" t="inlineStr">
        <is>
          <t>Domingo</t>
        </is>
      </c>
      <c r="C511" s="4" t="n">
        <v>509</v>
      </c>
      <c r="D511" s="8" t="inlineStr">
        <is>
          <t>ARQUITETURA / BANCO DE DADOS</t>
        </is>
      </c>
      <c r="E511" s="9" t="inlineStr">
        <is>
          <t>REVISÃO 24H</t>
        </is>
      </c>
      <c r="F511" s="8" t="inlineStr">
        <is>
          <t>ACID, transações e performance de banco de dados</t>
        </is>
      </c>
      <c r="G511" s="9" t="inlineStr"/>
      <c r="H511" s="9" t="n"/>
      <c r="I511" s="9" t="n"/>
      <c r="J511" s="35" t="inlineStr">
        <is>
          <t>A FAZER</t>
        </is>
      </c>
    </row>
    <row r="512">
      <c r="A512" s="53" t="n">
        <v>46384</v>
      </c>
      <c r="B512" s="6" t="inlineStr">
        <is>
          <t>Segunda</t>
        </is>
      </c>
      <c r="C512" s="6" t="n">
        <v>510</v>
      </c>
      <c r="D512" s="5" t="inlineStr">
        <is>
          <t>ARQUITETURA DE SOFTWARE</t>
        </is>
      </c>
      <c r="E512" s="6" t="inlineStr">
        <is>
          <t>ESTUDO</t>
        </is>
      </c>
      <c r="F512" s="5" t="inlineStr">
        <is>
          <t>Arquitetura Orientada a Serviços (SOA) e interoperabilidade</t>
        </is>
      </c>
      <c r="G512" s="6" t="n">
        <v>120</v>
      </c>
      <c r="H512" s="6" t="n"/>
      <c r="I512" s="6" t="n"/>
      <c r="J512" s="35" t="inlineStr">
        <is>
          <t>A FAZER</t>
        </is>
      </c>
    </row>
    <row r="513">
      <c r="A513" s="53" t="n">
        <v>46384</v>
      </c>
      <c r="B513" s="6" t="inlineStr">
        <is>
          <t>Segunda</t>
        </is>
      </c>
      <c r="C513" s="6" t="n">
        <v>511</v>
      </c>
      <c r="D513" s="16" t="inlineStr">
        <is>
          <t>LINGUAGENS DE PROGRAMAÇÃO</t>
        </is>
      </c>
      <c r="E513" s="17" t="inlineStr">
        <is>
          <t>REVISÃO 30 DIAS</t>
        </is>
      </c>
      <c r="F513" s="16" t="inlineStr">
        <is>
          <t>Tratamento de exceções e anotações</t>
        </is>
      </c>
      <c r="G513" s="17" t="inlineStr"/>
      <c r="H513" s="17" t="n"/>
      <c r="I513" s="17" t="n"/>
      <c r="J513" s="35" t="inlineStr">
        <is>
          <t>A FAZER</t>
        </is>
      </c>
    </row>
    <row r="514">
      <c r="A514" s="53" t="n">
        <v>46384</v>
      </c>
      <c r="B514" s="6" t="inlineStr">
        <is>
          <t>Segunda</t>
        </is>
      </c>
      <c r="C514" s="6" t="n">
        <v>512</v>
      </c>
      <c r="D514" s="16" t="inlineStr">
        <is>
          <t>QUALIDADE DE SOFTWARE</t>
        </is>
      </c>
      <c r="E514" s="17" t="inlineStr">
        <is>
          <t>REVISÃO 30 DIAS</t>
        </is>
      </c>
      <c r="F514" s="16" t="inlineStr">
        <is>
          <t>Conceitos básicos de auditoria de sistemas</t>
        </is>
      </c>
      <c r="G514" s="17" t="inlineStr"/>
      <c r="H514" s="17" t="n"/>
      <c r="I514" s="17" t="n"/>
      <c r="J514" s="35" t="inlineStr">
        <is>
          <t>A FAZER</t>
        </is>
      </c>
    </row>
    <row r="515">
      <c r="A515" s="53" t="n">
        <v>46384</v>
      </c>
      <c r="B515" s="6" t="inlineStr">
        <is>
          <t>Segunda</t>
        </is>
      </c>
      <c r="C515" s="6" t="n">
        <v>513</v>
      </c>
      <c r="D515" s="14" t="inlineStr">
        <is>
          <t>SEGURANÇA DA INFORMAÇÃO</t>
        </is>
      </c>
      <c r="E515" s="15" t="inlineStr">
        <is>
          <t>REVISÃO 15 DIAS</t>
        </is>
      </c>
      <c r="F515" s="14" t="inlineStr">
        <is>
          <t>Desenvolvimento seguro: SAST / DAST / IAST</t>
        </is>
      </c>
      <c r="G515" s="15" t="inlineStr"/>
      <c r="H515" s="15" t="n"/>
      <c r="I515" s="15" t="n"/>
      <c r="J515" s="35" t="inlineStr">
        <is>
          <t>A FAZER</t>
        </is>
      </c>
    </row>
    <row r="516">
      <c r="A516" s="53" t="n">
        <v>46384</v>
      </c>
      <c r="B516" s="6" t="inlineStr">
        <is>
          <t>Segunda</t>
        </is>
      </c>
      <c r="C516" s="6" t="n">
        <v>514</v>
      </c>
      <c r="D516" s="12" t="inlineStr">
        <is>
          <t>ARQUITETURA DE SOFTWARE</t>
        </is>
      </c>
      <c r="E516" s="13" t="inlineStr">
        <is>
          <t>REVISÃO 7 DIAS</t>
        </is>
      </c>
      <c r="F516" s="12" t="inlineStr">
        <is>
          <t>Padrão MVC; Microsserviços; Arquitetura orientada a eventos</t>
        </is>
      </c>
      <c r="G516" s="13" t="inlineStr"/>
      <c r="H516" s="13" t="n"/>
      <c r="I516" s="13" t="n"/>
      <c r="J516" s="35" t="inlineStr">
        <is>
          <t>A FAZER</t>
        </is>
      </c>
    </row>
    <row r="517">
      <c r="A517" s="53" t="n">
        <v>46384</v>
      </c>
      <c r="B517" s="6" t="inlineStr">
        <is>
          <t>Segunda</t>
        </is>
      </c>
      <c r="C517" s="6" t="n">
        <v>515</v>
      </c>
      <c r="D517" s="8" t="inlineStr">
        <is>
          <t>SEGURANÇA DA INFORMAÇÃO</t>
        </is>
      </c>
      <c r="E517" s="9" t="inlineStr">
        <is>
          <t>REVISÃO 24H</t>
        </is>
      </c>
      <c r="F517" s="8" t="inlineStr">
        <is>
          <t>SSO (Single Sign-On) e Autenticação Multifator (MFA)</t>
        </is>
      </c>
      <c r="G517" s="9" t="inlineStr"/>
      <c r="H517" s="9" t="n"/>
      <c r="I517" s="9" t="n"/>
      <c r="J517" s="35" t="inlineStr">
        <is>
          <t>A FAZER</t>
        </is>
      </c>
    </row>
    <row r="518">
      <c r="A518" s="52" t="n">
        <v>46385</v>
      </c>
      <c r="B518" s="4" t="inlineStr">
        <is>
          <t>Terça</t>
        </is>
      </c>
      <c r="C518" s="4" t="n">
        <v>516</v>
      </c>
      <c r="D518" s="5" t="inlineStr">
        <is>
          <t>LINGUAGENS DE PROGRAMAÇÃO</t>
        </is>
      </c>
      <c r="E518" s="6" t="inlineStr">
        <is>
          <t>ESTUDO</t>
        </is>
      </c>
      <c r="F518" s="5" t="inlineStr">
        <is>
          <t>Coleções, tipos genéricos, threads e escalonamento</t>
        </is>
      </c>
      <c r="G518" s="6" t="n">
        <v>120</v>
      </c>
      <c r="H518" s="6" t="n"/>
      <c r="I518" s="6" t="n"/>
      <c r="J518" s="35" t="inlineStr">
        <is>
          <t>A FAZER</t>
        </is>
      </c>
    </row>
    <row r="519">
      <c r="A519" s="52" t="n">
        <v>46385</v>
      </c>
      <c r="B519" s="4" t="inlineStr">
        <is>
          <t>Terça</t>
        </is>
      </c>
      <c r="C519" s="4" t="n">
        <v>517</v>
      </c>
      <c r="D519" s="16" t="inlineStr">
        <is>
          <t>ESTRUTURA DE DADOS E ALGORITMOS</t>
        </is>
      </c>
      <c r="E519" s="17" t="inlineStr">
        <is>
          <t>REVISÃO 30 DIAS</t>
        </is>
      </c>
      <c r="F519" s="16" t="inlineStr">
        <is>
          <t>Tipos básicos e abstratos de dados (lista, fila, pilha, árvore)</t>
        </is>
      </c>
      <c r="G519" s="17" t="inlineStr"/>
      <c r="H519" s="17" t="n"/>
      <c r="I519" s="17" t="n"/>
      <c r="J519" s="35" t="inlineStr">
        <is>
          <t>A FAZER</t>
        </is>
      </c>
    </row>
    <row r="520">
      <c r="A520" s="52" t="n">
        <v>46385</v>
      </c>
      <c r="B520" s="4" t="inlineStr">
        <is>
          <t>Terça</t>
        </is>
      </c>
      <c r="C520" s="4" t="n">
        <v>518</v>
      </c>
      <c r="D520" s="14" t="inlineStr">
        <is>
          <t>ARQUITETURA DE SOFTWARE</t>
        </is>
      </c>
      <c r="E520" s="15" t="inlineStr">
        <is>
          <t>REVISÃO 15 DIAS</t>
        </is>
      </c>
      <c r="F520" s="14" t="inlineStr">
        <is>
          <t>Refatoração, modernização e componentização de software</t>
        </is>
      </c>
      <c r="G520" s="15" t="inlineStr"/>
      <c r="H520" s="15" t="n"/>
      <c r="I520" s="15" t="n"/>
      <c r="J520" s="35" t="inlineStr">
        <is>
          <t>A FAZER</t>
        </is>
      </c>
    </row>
    <row r="521">
      <c r="A521" s="52" t="n">
        <v>46385</v>
      </c>
      <c r="B521" s="4" t="inlineStr">
        <is>
          <t>Terça</t>
        </is>
      </c>
      <c r="C521" s="4" t="n">
        <v>519</v>
      </c>
      <c r="D521" s="12" t="inlineStr">
        <is>
          <t>LINGUAGENS DE PROGRAMAÇÃO</t>
        </is>
      </c>
      <c r="E521" s="13" t="inlineStr">
        <is>
          <t>REVISÃO 7 DIAS</t>
        </is>
      </c>
      <c r="F521" s="12" t="inlineStr">
        <is>
          <t>Orientação a Objetos: pilares e características estruturais</t>
        </is>
      </c>
      <c r="G521" s="13" t="inlineStr"/>
      <c r="H521" s="13" t="n"/>
      <c r="I521" s="13" t="n"/>
      <c r="J521" s="35" t="inlineStr">
        <is>
          <t>A FAZER</t>
        </is>
      </c>
    </row>
    <row r="522">
      <c r="A522" s="52" t="n">
        <v>46385</v>
      </c>
      <c r="B522" s="4" t="inlineStr">
        <is>
          <t>Terça</t>
        </is>
      </c>
      <c r="C522" s="4" t="n">
        <v>520</v>
      </c>
      <c r="D522" s="8" t="inlineStr">
        <is>
          <t>ARQUITETURA DE SOFTWARE</t>
        </is>
      </c>
      <c r="E522" s="9" t="inlineStr">
        <is>
          <t>REVISÃO 24H</t>
        </is>
      </c>
      <c r="F522" s="8" t="inlineStr">
        <is>
          <t>Arquitetura Orientada a Serviços (SOA) e interoperabilidade</t>
        </is>
      </c>
      <c r="G522" s="9" t="inlineStr"/>
      <c r="H522" s="9" t="n"/>
      <c r="I522" s="9" t="n"/>
      <c r="J522" s="35" t="inlineStr">
        <is>
          <t>A FAZER</t>
        </is>
      </c>
    </row>
    <row r="523">
      <c r="A523" s="53" t="n">
        <v>46386</v>
      </c>
      <c r="B523" s="6" t="inlineStr">
        <is>
          <t>Quarta</t>
        </is>
      </c>
      <c r="C523" s="6" t="n">
        <v>521</v>
      </c>
      <c r="D523" s="5" t="inlineStr">
        <is>
          <t>ESTRUTURA DE DADOS E ALGORITMOS</t>
        </is>
      </c>
      <c r="E523" s="6" t="inlineStr">
        <is>
          <t>ESTUDO</t>
        </is>
      </c>
      <c r="F523" s="5" t="inlineStr">
        <is>
          <t>Tipos básicos e abstratos de dados (lista, fila, pilha, árvore)</t>
        </is>
      </c>
      <c r="G523" s="6" t="n">
        <v>120</v>
      </c>
      <c r="H523" s="6" t="n"/>
      <c r="I523" s="6" t="n"/>
      <c r="J523" s="35" t="inlineStr">
        <is>
          <t>A FAZER</t>
        </is>
      </c>
    </row>
    <row r="524">
      <c r="A524" s="53" t="n">
        <v>46386</v>
      </c>
      <c r="B524" s="6" t="inlineStr">
        <is>
          <t>Quarta</t>
        </is>
      </c>
      <c r="C524" s="6" t="n">
        <v>522</v>
      </c>
      <c r="D524" s="16" t="inlineStr">
        <is>
          <t>SEGURANÇA DA INFORMAÇÃO</t>
        </is>
      </c>
      <c r="E524" s="17" t="inlineStr">
        <is>
          <t>REVISÃO 30 DIAS</t>
        </is>
      </c>
      <c r="F524" s="16" t="inlineStr">
        <is>
          <t>Gestão de identidade e acesso (autenticação, autorização, auditoria)</t>
        </is>
      </c>
      <c r="G524" s="17" t="inlineStr"/>
      <c r="H524" s="17" t="n"/>
      <c r="I524" s="17" t="n"/>
      <c r="J524" s="35" t="inlineStr">
        <is>
          <t>A FAZER</t>
        </is>
      </c>
    </row>
    <row r="525">
      <c r="A525" s="53" t="n">
        <v>46386</v>
      </c>
      <c r="B525" s="6" t="inlineStr">
        <is>
          <t>Quarta</t>
        </is>
      </c>
      <c r="C525" s="6" t="n">
        <v>523</v>
      </c>
      <c r="D525" s="14" t="inlineStr">
        <is>
          <t>LINGUAGENS DE PROGRAMAÇÃO</t>
        </is>
      </c>
      <c r="E525" s="15" t="inlineStr">
        <is>
          <t>REVISÃO 15 DIAS</t>
        </is>
      </c>
      <c r="F525" s="14" t="inlineStr">
        <is>
          <t>Java Core 8+ (sintaxe, streams, coleções)</t>
        </is>
      </c>
      <c r="G525" s="15" t="inlineStr"/>
      <c r="H525" s="15" t="n"/>
      <c r="I525" s="15" t="n"/>
      <c r="J525" s="35" t="inlineStr">
        <is>
          <t>A FAZER</t>
        </is>
      </c>
    </row>
    <row r="526">
      <c r="A526" s="53" t="n">
        <v>46386</v>
      </c>
      <c r="B526" s="6" t="inlineStr">
        <is>
          <t>Quarta</t>
        </is>
      </c>
      <c r="C526" s="6" t="n">
        <v>524</v>
      </c>
      <c r="D526" s="12" t="inlineStr">
        <is>
          <t>QUALIDADE DE SOFTWARE</t>
        </is>
      </c>
      <c r="E526" s="13" t="inlineStr">
        <is>
          <t>REVISÃO 7 DIAS</t>
        </is>
      </c>
      <c r="F526" s="12" t="inlineStr">
        <is>
          <t>Testes: unitário, integração, funcional, aceitação</t>
        </is>
      </c>
      <c r="G526" s="13" t="inlineStr"/>
      <c r="H526" s="13" t="n"/>
      <c r="I526" s="13" t="n"/>
      <c r="J526" s="35" t="inlineStr">
        <is>
          <t>A FAZER</t>
        </is>
      </c>
    </row>
    <row r="527">
      <c r="A527" s="53" t="n">
        <v>46386</v>
      </c>
      <c r="B527" s="6" t="inlineStr">
        <is>
          <t>Quarta</t>
        </is>
      </c>
      <c r="C527" s="6" t="n">
        <v>525</v>
      </c>
      <c r="D527" s="8" t="inlineStr">
        <is>
          <t>LINGUAGENS DE PROGRAMAÇÃO</t>
        </is>
      </c>
      <c r="E527" s="9" t="inlineStr">
        <is>
          <t>REVISÃO 24H</t>
        </is>
      </c>
      <c r="F527" s="8" t="inlineStr">
        <is>
          <t>Coleções, tipos genéricos, threads e escalonamento</t>
        </is>
      </c>
      <c r="G527" s="9" t="inlineStr"/>
      <c r="H527" s="9" t="n"/>
      <c r="I527" s="9" t="n"/>
      <c r="J527" s="35" t="inlineStr">
        <is>
          <t>A FAZER</t>
        </is>
      </c>
    </row>
    <row r="528">
      <c r="A528" s="52" t="n">
        <v>46387</v>
      </c>
      <c r="B528" s="4" t="inlineStr">
        <is>
          <t>Quinta</t>
        </is>
      </c>
      <c r="C528" s="4" t="n">
        <v>526</v>
      </c>
      <c r="D528" s="16" t="inlineStr">
        <is>
          <t>ENGENHARIA DE SOFTWARE</t>
        </is>
      </c>
      <c r="E528" s="17" t="inlineStr">
        <is>
          <t>REVISÃO 30 DIAS</t>
        </is>
      </c>
      <c r="F528" s="16" t="inlineStr">
        <is>
          <t>Diagrama Entidade-Relacionamento (ER) e modelagem</t>
        </is>
      </c>
      <c r="G528" s="17" t="inlineStr"/>
      <c r="H528" s="17" t="n"/>
      <c r="I528" s="17" t="n"/>
      <c r="J528" s="35" t="inlineStr">
        <is>
          <t>A FAZER</t>
        </is>
      </c>
    </row>
    <row r="529">
      <c r="A529" s="52" t="n">
        <v>46387</v>
      </c>
      <c r="B529" s="4" t="inlineStr">
        <is>
          <t>Quinta</t>
        </is>
      </c>
      <c r="C529" s="4" t="n">
        <v>527</v>
      </c>
      <c r="D529" s="14" t="inlineStr">
        <is>
          <t>ESTRUTURA DE DADOS E ALGORITMOS</t>
        </is>
      </c>
      <c r="E529" s="15" t="inlineStr">
        <is>
          <t>REVISÃO 15 DIAS</t>
        </is>
      </c>
      <c r="F529" s="14" t="inlineStr">
        <is>
          <t>Listas lineares, encadeadas, vetores e matrizes</t>
        </is>
      </c>
      <c r="G529" s="15" t="inlineStr"/>
      <c r="H529" s="15" t="n"/>
      <c r="I529" s="15" t="n"/>
      <c r="J529" s="35" t="inlineStr">
        <is>
          <t>A FAZER</t>
        </is>
      </c>
    </row>
    <row r="530">
      <c r="A530" s="52" t="n">
        <v>46387</v>
      </c>
      <c r="B530" s="4" t="inlineStr">
        <is>
          <t>Quinta</t>
        </is>
      </c>
      <c r="C530" s="4" t="n">
        <v>528</v>
      </c>
      <c r="D530" s="8" t="inlineStr">
        <is>
          <t>ESTRUTURA DE DADOS E ALGORITMOS</t>
        </is>
      </c>
      <c r="E530" s="9" t="inlineStr">
        <is>
          <t>REVISÃO 24H</t>
        </is>
      </c>
      <c r="F530" s="8" t="inlineStr">
        <is>
          <t>Tipos básicos e abstratos de dados (lista, fila, pilha, árvore)</t>
        </is>
      </c>
      <c r="G530" s="9" t="inlineStr"/>
      <c r="H530" s="9" t="n"/>
      <c r="I530" s="9" t="n"/>
      <c r="J530" s="35" t="inlineStr">
        <is>
          <t>A FAZER</t>
        </is>
      </c>
    </row>
    <row r="531">
      <c r="J531" s="71" t="n"/>
    </row>
    <row r="532">
      <c r="A532" s="18" t="inlineStr">
        <is>
          <t>LEGENDA (TIPO):</t>
        </is>
      </c>
      <c r="J532" s="71" t="n"/>
    </row>
    <row r="533">
      <c r="A533" s="19" t="inlineStr">
        <is>
          <t>ESTUDO</t>
        </is>
      </c>
      <c r="J533" s="71" t="n"/>
    </row>
    <row r="534">
      <c r="A534" s="20" t="inlineStr">
        <is>
          <t>SIMULADO</t>
        </is>
      </c>
      <c r="J534" s="71" t="n"/>
    </row>
    <row r="535">
      <c r="A535" s="21" t="inlineStr">
        <is>
          <t>REVISÃO 24H</t>
        </is>
      </c>
      <c r="J535" s="71" t="n"/>
    </row>
    <row r="536">
      <c r="A536" s="22" t="inlineStr">
        <is>
          <t>REVISÃO 7 DIAS</t>
        </is>
      </c>
      <c r="J536" s="71" t="n"/>
    </row>
    <row r="537">
      <c r="A537" s="23" t="inlineStr">
        <is>
          <t>REVISÃO 15 DIAS</t>
        </is>
      </c>
      <c r="J537" s="71" t="n"/>
    </row>
    <row r="538">
      <c r="A538" s="24" t="inlineStr">
        <is>
          <t>REVISÃO 30 DIAS</t>
        </is>
      </c>
      <c r="J538" s="71" t="n"/>
    </row>
    <row r="539">
      <c r="J539" s="72" t="n"/>
    </row>
    <row r="540">
      <c r="A540" s="18" t="inlineStr">
        <is>
          <t>LEGENDA (STATUS):</t>
        </is>
      </c>
    </row>
    <row r="541">
      <c r="A541" s="73" t="inlineStr">
        <is>
          <t>A FAZER</t>
        </is>
      </c>
    </row>
    <row r="542">
      <c r="A542" s="74" t="inlineStr">
        <is>
          <t>CONCLUÍDO (matei o conteúdo)</t>
        </is>
      </c>
    </row>
    <row r="543">
      <c r="A543" s="75" t="inlineStr">
        <is>
          <t>ADIADO (não deu tempo, vai mudar de dia)</t>
        </is>
      </c>
    </row>
    <row r="545">
      <c r="A545" s="49" t="inlineStr">
        <is>
          <t>COMO MOVER UM ASSUNTO PARA OUTRO DIA: edite a data (coluna A) daquela linha para o novo dia — não precisa recriar a linha.</t>
        </is>
      </c>
    </row>
    <row r="546">
      <c r="A546" s="49" t="inlineStr">
        <is>
          <t>Marque STATUS = ADIADO no dia original antes de mudar a data (fica registrado que esse dia não foi cumprido como planejado).</t>
        </is>
      </c>
    </row>
    <row r="547">
      <c r="A547" s="49" t="inlineStr">
        <is>
          <t>Quando terminar de verdade um assunto, marque STATUS = CONCLUÍDO — esse é o registro permanente de que você 'matou' aquele conteúdo,</t>
        </is>
      </c>
    </row>
    <row r="548">
      <c r="A548" s="49" t="inlineStr">
        <is>
          <t>independente de qual dia você efetivamente estudou. Ele não se perde mesmo que você tenha adiado antes.</t>
        </is>
      </c>
    </row>
  </sheetData>
  <autoFilter ref="A2:J530"/>
  <mergeCells count="1">
    <mergeCell ref="A1:I1"/>
  </mergeCells>
  <conditionalFormatting sqref="J3:J538">
    <cfRule type="cellIs" priority="1" operator="equal" dxfId="2">
      <formula>"A FAZER"</formula>
    </cfRule>
    <cfRule type="cellIs" priority="2" operator="equal" dxfId="0">
      <formula>"CONCLUÍDO"</formula>
    </cfRule>
    <cfRule type="cellIs" priority="3" operator="equal" dxfId="1">
      <formula>"ADIADO"</formula>
    </cfRule>
  </conditionalFormatting>
  <dataValidations count="1">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showDropDown="0" showInputMessage="0" showErrorMessage="0" allowBlank="1" type="list">
      <formula1>"A FAZER,CONCLUÍDO,ADIADO"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showGridLines="0" workbookViewId="0">
      <pane ySplit="5" topLeftCell="A6" activePane="bottomLeft" state="frozen"/>
      <selection pane="bottomLeft" activeCell="A1" sqref="A1"/>
    </sheetView>
  </sheetViews>
  <sheetFormatPr baseColWidth="8" defaultRowHeight="15"/>
  <cols>
    <col width="46" customWidth="1" min="1" max="1"/>
    <col width="12" customWidth="1" min="2" max="2"/>
    <col width="11" customWidth="1" min="3" max="3"/>
    <col width="12" customWidth="1" min="4" max="4"/>
    <col width="8" customWidth="1" min="5" max="5"/>
    <col width="9" customWidth="1" min="6" max="6"/>
    <col width="9" customWidth="1" min="7" max="7"/>
    <col width="11" customWidth="1" min="8" max="8"/>
    <col width="11" customWidth="1" min="9" max="9"/>
    <col width="11" customWidth="1" min="10" max="10"/>
    <col width="30" customWidth="1" min="11" max="11"/>
    <col width="13" customWidth="1" min="12" max="12"/>
  </cols>
  <sheetData>
    <row r="1" ht="26" customHeight="1">
      <c r="A1" s="1" t="inlineStr">
        <is>
          <t>CONCURSO MPMS — ANALISTA DE TI / DESENVOLVIMENTO DE SISTEMAS (base: Edital nº 1/2022-MPMS)</t>
        </is>
      </c>
    </row>
    <row r="2">
      <c r="A2" s="25" t="inlineStr">
        <is>
          <t>Cronograma adaptado — atualizar quando sair o novo edital  |  Quantidade/Acertos vêm automaticamente do 'Diário de estudo'</t>
        </is>
      </c>
    </row>
    <row r="4">
      <c r="A4" s="18" t="inlineStr">
        <is>
          <t>LEGENDA:</t>
        </is>
      </c>
      <c r="B4" s="26" t="inlineStr">
        <is>
          <t>SIM</t>
        </is>
      </c>
      <c r="C4" s="27" t="inlineStr">
        <is>
          <t>NÃO</t>
        </is>
      </c>
      <c r="D4" s="28" t="inlineStr">
        <is>
          <t>ATENÇÃO</t>
        </is>
      </c>
      <c r="E4" s="29" t="inlineStr">
        <is>
          <t>PRECISO ESTUDAR</t>
        </is>
      </c>
      <c r="F4" s="30" t="inlineStr">
        <is>
          <t>DOMINO</t>
        </is>
      </c>
      <c r="G4" s="31" t="inlineStr">
        <is>
          <t>CAIU NA ÚLTIMA PROVA</t>
        </is>
      </c>
    </row>
    <row r="6">
      <c r="A6" s="32" t="inlineStr">
        <is>
          <t>LÍNGUA PORTUGUESA</t>
        </is>
      </c>
      <c r="B6" s="22" t="n"/>
      <c r="C6" s="22" t="n"/>
      <c r="D6" s="22" t="n"/>
      <c r="E6" s="22" t="n"/>
      <c r="F6" s="22" t="n"/>
      <c r="G6" s="22" t="n"/>
      <c r="H6" s="22" t="n"/>
      <c r="I6" s="22" t="n"/>
      <c r="J6" s="22" t="n"/>
      <c r="K6" s="33">
        <f>IFERROR(COUNTIF(B7:B12,"SIM")/COUNTA(B7:B12),0)</f>
        <v/>
      </c>
      <c r="L6" s="2" t="inlineStr">
        <is>
          <t>MATEI NO
DIÁRIO?</t>
        </is>
      </c>
    </row>
    <row r="7" ht="30" customHeight="1">
      <c r="A7" s="2" t="inlineStr"/>
      <c r="B7" s="2" t="inlineStr">
        <is>
          <t>MATÉRIA
ESTUDADA</t>
        </is>
      </c>
      <c r="C7" s="2" t="inlineStr">
        <is>
          <t>AULAS /
TEORIA</t>
        </is>
      </c>
      <c r="D7" s="2" t="inlineStr">
        <is>
          <t>JÁ FIZ
QUESTÕES?</t>
        </is>
      </c>
      <c r="E7" s="2" t="inlineStr">
        <is>
          <t>QTD.
EXERC.</t>
        </is>
      </c>
      <c r="F7" s="2" t="inlineStr">
        <is>
          <t>ACERTOS</t>
        </is>
      </c>
      <c r="G7" s="2" t="inlineStr">
        <is>
          <t>DESEMP.
(%)</t>
        </is>
      </c>
      <c r="H7" s="2" t="inlineStr">
        <is>
          <t>REVISÃO
1º</t>
        </is>
      </c>
      <c r="I7" s="2" t="inlineStr">
        <is>
          <t>REVISÃO
2º</t>
        </is>
      </c>
      <c r="J7" s="2" t="inlineStr">
        <is>
          <t>REVISÃO
3º</t>
        </is>
      </c>
      <c r="K7" s="2" t="inlineStr">
        <is>
          <t>ANOTAÇÕES</t>
        </is>
      </c>
    </row>
    <row r="8">
      <c r="A8" s="34" t="inlineStr">
        <is>
          <t>Interpretação de texto, tipologia e gêneros textuais</t>
        </is>
      </c>
      <c r="B8" s="35" t="inlineStr">
        <is>
          <t>NÃO</t>
        </is>
      </c>
      <c r="C8" s="35" t="inlineStr">
        <is>
          <t>NÃO</t>
        </is>
      </c>
      <c r="D8" s="35" t="inlineStr">
        <is>
          <t>NÃO</t>
        </is>
      </c>
      <c r="E8" s="35">
        <f>SUMIFS('Diário de estudo'!H3:H530,'Diário de estudo'!D3:D530,"LÍNGUA PORTUGUESA",'Diário de estudo'!F3:F530,A8)</f>
        <v/>
      </c>
      <c r="F8" s="35">
        <f>SUMIFS('Diário de estudo'!I3:I530,'Diário de estudo'!D3:D530,"LÍNGUA PORTUGUESA",'Diário de estudo'!F3:F530,A8)</f>
        <v/>
      </c>
      <c r="G8" s="36">
        <f>IFERROR(F8/E8,"")</f>
        <v/>
      </c>
      <c r="H8" s="54" t="n"/>
      <c r="I8" s="54" t="n"/>
      <c r="J8" s="54" t="n"/>
      <c r="K8" s="38" t="n"/>
      <c r="L8" s="35">
        <f>IF(COUNTIFS('Diário de estudo'!$D$3:$D$530,"LÍNGUA PORTUGUESA",'Diário de estudo'!$F$3:$F$530,A8,'Diário de estudo'!$J$3:$J$530,"CONCLUÍDO")&gt;0,"✔ SIM","—")</f>
        <v/>
      </c>
    </row>
    <row r="9">
      <c r="A9" s="34" t="inlineStr">
        <is>
          <t>Ortografia, acentuação e uso da crase</t>
        </is>
      </c>
      <c r="B9" s="35" t="inlineStr">
        <is>
          <t>NÃO</t>
        </is>
      </c>
      <c r="C9" s="35" t="inlineStr">
        <is>
          <t>NÃO</t>
        </is>
      </c>
      <c r="D9" s="35" t="inlineStr">
        <is>
          <t>NÃO</t>
        </is>
      </c>
      <c r="E9" s="35">
        <f>SUMIFS('Diário de estudo'!H3:H530,'Diário de estudo'!D3:D530,"LÍNGUA PORTUGUESA",'Diário de estudo'!F3:F530,A9)</f>
        <v/>
      </c>
      <c r="F9" s="35">
        <f>SUMIFS('Diário de estudo'!I3:I530,'Diário de estudo'!D3:D530,"LÍNGUA PORTUGUESA",'Diário de estudo'!F3:F530,A9)</f>
        <v/>
      </c>
      <c r="G9" s="36">
        <f>IFERROR(F9/E9,"")</f>
        <v/>
      </c>
      <c r="H9" s="54" t="n"/>
      <c r="I9" s="54" t="n"/>
      <c r="J9" s="54" t="n"/>
      <c r="K9" s="38" t="n"/>
      <c r="L9" s="35">
        <f>IF(COUNTIFS('Diário de estudo'!$D$3:$D$530,"LÍNGUA PORTUGUESA",'Diário de estudo'!$F$3:$F$530,A9,'Diário de estudo'!$J$3:$J$530,"CONCLUÍDO")&gt;0,"✔ SIM","—")</f>
        <v/>
      </c>
    </row>
    <row r="10">
      <c r="A10" s="34" t="inlineStr">
        <is>
          <t>Morfologia (classes de palavras) e funções do 'que'/'se'</t>
        </is>
      </c>
      <c r="B10" s="35" t="inlineStr">
        <is>
          <t>NÃO</t>
        </is>
      </c>
      <c r="C10" s="35" t="inlineStr">
        <is>
          <t>NÃO</t>
        </is>
      </c>
      <c r="D10" s="35" t="inlineStr">
        <is>
          <t>NÃO</t>
        </is>
      </c>
      <c r="E10" s="35">
        <f>SUMIFS('Diário de estudo'!H3:H530,'Diário de estudo'!D3:D530,"LÍNGUA PORTUGUESA",'Diário de estudo'!F3:F530,A10)</f>
        <v/>
      </c>
      <c r="F10" s="35">
        <f>SUMIFS('Diário de estudo'!I3:I530,'Diário de estudo'!D3:D530,"LÍNGUA PORTUGUESA",'Diário de estudo'!F3:F530,A10)</f>
        <v/>
      </c>
      <c r="G10" s="36">
        <f>IFERROR(F10/E10,"")</f>
        <v/>
      </c>
      <c r="H10" s="54" t="n"/>
      <c r="I10" s="54" t="n"/>
      <c r="J10" s="54" t="n"/>
      <c r="K10" s="38" t="n"/>
      <c r="L10" s="35">
        <f>IF(COUNTIFS('Diário de estudo'!$D$3:$D$530,"LÍNGUA PORTUGUESA",'Diário de estudo'!$F$3:$F$530,A10,'Diário de estudo'!$J$3:$J$530,"CONCLUÍDO")&gt;0,"✔ SIM","—")</f>
        <v/>
      </c>
    </row>
    <row r="11">
      <c r="A11" s="34" t="inlineStr">
        <is>
          <t>Coesão e coerência textual; reescrita de frases</t>
        </is>
      </c>
      <c r="B11" s="35" t="inlineStr">
        <is>
          <t>NÃO</t>
        </is>
      </c>
      <c r="C11" s="35" t="inlineStr">
        <is>
          <t>NÃO</t>
        </is>
      </c>
      <c r="D11" s="35" t="inlineStr">
        <is>
          <t>NÃO</t>
        </is>
      </c>
      <c r="E11" s="35">
        <f>SUMIFS('Diário de estudo'!H3:H530,'Diário de estudo'!D3:D530,"LÍNGUA PORTUGUESA",'Diário de estudo'!F3:F530,A11)</f>
        <v/>
      </c>
      <c r="F11" s="35">
        <f>SUMIFS('Diário de estudo'!I3:I530,'Diário de estudo'!D3:D530,"LÍNGUA PORTUGUESA",'Diário de estudo'!F3:F530,A11)</f>
        <v/>
      </c>
      <c r="G11" s="36">
        <f>IFERROR(F11/E11,"")</f>
        <v/>
      </c>
      <c r="H11" s="54" t="n"/>
      <c r="I11" s="54" t="n"/>
      <c r="J11" s="54" t="n"/>
      <c r="K11" s="38" t="n"/>
      <c r="L11" s="35">
        <f>IF(COUNTIFS('Diário de estudo'!$D$3:$D$530,"LÍNGUA PORTUGUESA",'Diário de estudo'!$F$3:$F$530,A11,'Diário de estudo'!$J$3:$J$530,"CONCLUÍDO")&gt;0,"✔ SIM","—")</f>
        <v/>
      </c>
    </row>
    <row r="12">
      <c r="A12" s="34" t="inlineStr">
        <is>
          <t>Sintaxe (período simples e composto); concordância e regência</t>
        </is>
      </c>
      <c r="B12" s="35" t="inlineStr">
        <is>
          <t>NÃO</t>
        </is>
      </c>
      <c r="C12" s="35" t="inlineStr">
        <is>
          <t>NÃO</t>
        </is>
      </c>
      <c r="D12" s="35" t="inlineStr">
        <is>
          <t>NÃO</t>
        </is>
      </c>
      <c r="E12" s="35">
        <f>SUMIFS('Diário de estudo'!H3:H530,'Diário de estudo'!D3:D530,"LÍNGUA PORTUGUESA",'Diário de estudo'!F3:F530,A12)</f>
        <v/>
      </c>
      <c r="F12" s="35">
        <f>SUMIFS('Diário de estudo'!I3:I530,'Diário de estudo'!D3:D530,"LÍNGUA PORTUGUESA",'Diário de estudo'!F3:F530,A12)</f>
        <v/>
      </c>
      <c r="G12" s="36">
        <f>IFERROR(F12/E12,"")</f>
        <v/>
      </c>
      <c r="H12" s="54" t="n"/>
      <c r="I12" s="54" t="n"/>
      <c r="J12" s="54" t="n"/>
      <c r="K12" s="38" t="n"/>
      <c r="L12" s="35">
        <f>IF(COUNTIFS('Diário de estudo'!$D$3:$D$530,"LÍNGUA PORTUGUESA",'Diário de estudo'!$F$3:$F$530,A12,'Diário de estudo'!$J$3:$J$530,"CONCLUÍDO")&gt;0,"✔ SIM","—")</f>
        <v/>
      </c>
    </row>
    <row r="13">
      <c r="A13" s="34" t="inlineStr">
        <is>
          <t>Colocação pronominal, pontuação e variação linguística</t>
        </is>
      </c>
      <c r="B13" s="35" t="inlineStr">
        <is>
          <t>NÃO</t>
        </is>
      </c>
      <c r="C13" s="35" t="inlineStr">
        <is>
          <t>NÃO</t>
        </is>
      </c>
      <c r="D13" s="35" t="inlineStr">
        <is>
          <t>NÃO</t>
        </is>
      </c>
      <c r="E13" s="35">
        <f>SUMIFS('Diário de estudo'!H3:H530,'Diário de estudo'!D3:D530,"LÍNGUA PORTUGUESA",'Diário de estudo'!F3:F530,A13)</f>
        <v/>
      </c>
      <c r="F13" s="35">
        <f>SUMIFS('Diário de estudo'!I3:I530,'Diário de estudo'!D3:D530,"LÍNGUA PORTUGUESA",'Diário de estudo'!F3:F530,A13)</f>
        <v/>
      </c>
      <c r="G13" s="36">
        <f>IFERROR(F13/E13,"")</f>
        <v/>
      </c>
      <c r="H13" s="54" t="n"/>
      <c r="I13" s="54" t="n"/>
      <c r="J13" s="54" t="n"/>
      <c r="K13" s="38" t="n"/>
      <c r="L13" s="35">
        <f>IF(COUNTIFS('Diário de estudo'!$D$3:$D$530,"LÍNGUA PORTUGUESA",'Diário de estudo'!$F$3:$F$530,A13,'Diário de estudo'!$J$3:$J$530,"CONCLUÍDO")&gt;0,"✔ SIM","—")</f>
        <v/>
      </c>
    </row>
    <row r="14"/>
    <row r="15">
      <c r="A15" s="32" t="inlineStr">
        <is>
          <t>DIREITO CONSTITUCIONAL</t>
        </is>
      </c>
      <c r="B15" s="22" t="n"/>
      <c r="C15" s="22" t="n"/>
      <c r="D15" s="22" t="n"/>
      <c r="E15" s="22" t="n"/>
      <c r="F15" s="22" t="n"/>
      <c r="G15" s="22" t="n"/>
      <c r="H15" s="22" t="n"/>
      <c r="I15" s="22" t="n"/>
      <c r="J15" s="22" t="n"/>
      <c r="K15" s="33">
        <f>IFERROR(COUNTIF(B16:B23,"SIM")/COUNTA(B16:B23),0)</f>
        <v/>
      </c>
      <c r="L15" s="2" t="inlineStr">
        <is>
          <t>MATEI NO
DIÁRIO?</t>
        </is>
      </c>
    </row>
    <row r="16" ht="30" customHeight="1">
      <c r="A16" s="2" t="inlineStr"/>
      <c r="B16" s="2" t="inlineStr">
        <is>
          <t>MATÉRIA
ESTUDADA</t>
        </is>
      </c>
      <c r="C16" s="2" t="inlineStr">
        <is>
          <t>AULAS /
TEORIA</t>
        </is>
      </c>
      <c r="D16" s="2" t="inlineStr">
        <is>
          <t>JÁ FIZ
QUESTÕES?</t>
        </is>
      </c>
      <c r="E16" s="2" t="inlineStr">
        <is>
          <t>QTD.
EXERC.</t>
        </is>
      </c>
      <c r="F16" s="2" t="inlineStr">
        <is>
          <t>ACERTOS</t>
        </is>
      </c>
      <c r="G16" s="2" t="inlineStr">
        <is>
          <t>DESEMP.
(%)</t>
        </is>
      </c>
      <c r="H16" s="2" t="inlineStr">
        <is>
          <t>REVISÃO
1º</t>
        </is>
      </c>
      <c r="I16" s="2" t="inlineStr">
        <is>
          <t>REVISÃO
2º</t>
        </is>
      </c>
      <c r="J16" s="2" t="inlineStr">
        <is>
          <t>REVISÃO
3º</t>
        </is>
      </c>
      <c r="K16" s="2" t="inlineStr">
        <is>
          <t>ANOTAÇÕES</t>
        </is>
      </c>
    </row>
    <row r="17">
      <c r="A17" s="34" t="inlineStr">
        <is>
          <t>Constitucionalismo, conceito e classificação das Constituições</t>
        </is>
      </c>
      <c r="B17" s="35" t="inlineStr">
        <is>
          <t>NÃO</t>
        </is>
      </c>
      <c r="C17" s="35" t="inlineStr">
        <is>
          <t>NÃO</t>
        </is>
      </c>
      <c r="D17" s="35" t="inlineStr">
        <is>
          <t>NÃO</t>
        </is>
      </c>
      <c r="E17" s="35">
        <f>SUMIFS('Diário de estudo'!H3:H530,'Diário de estudo'!D3:D530,"DIREITO CONSTITUCIONAL",'Diário de estudo'!F3:F530,A17)</f>
        <v/>
      </c>
      <c r="F17" s="35">
        <f>SUMIFS('Diário de estudo'!I3:I530,'Diário de estudo'!D3:D530,"DIREITO CONSTITUCIONAL",'Diário de estudo'!F3:F530,A17)</f>
        <v/>
      </c>
      <c r="G17" s="36">
        <f>IFERROR(F17/E17,"")</f>
        <v/>
      </c>
      <c r="H17" s="54" t="n"/>
      <c r="I17" s="54" t="n"/>
      <c r="J17" s="54" t="n"/>
      <c r="K17" s="38" t="n"/>
      <c r="L17" s="35">
        <f>IF(COUNTIFS('Diário de estudo'!$D$3:$D$530,"DIREITO CONSTITUCIONAL",'Diário de estudo'!$F$3:$F$530,A17,'Diário de estudo'!$J$3:$J$530,"CONCLUÍDO")&gt;0,"✔ SIM","—")</f>
        <v/>
      </c>
    </row>
    <row r="18">
      <c r="A18" s="34" t="inlineStr">
        <is>
          <t>Eficácia, aplicabilidade e interpretação das normas constitucionais</t>
        </is>
      </c>
      <c r="B18" s="35" t="inlineStr">
        <is>
          <t>NÃO</t>
        </is>
      </c>
      <c r="C18" s="35" t="inlineStr">
        <is>
          <t>NÃO</t>
        </is>
      </c>
      <c r="D18" s="35" t="inlineStr">
        <is>
          <t>NÃO</t>
        </is>
      </c>
      <c r="E18" s="35">
        <f>SUMIFS('Diário de estudo'!H3:H530,'Diário de estudo'!D3:D530,"DIREITO CONSTITUCIONAL",'Diário de estudo'!F3:F530,A18)</f>
        <v/>
      </c>
      <c r="F18" s="35">
        <f>SUMIFS('Diário de estudo'!I3:I530,'Diário de estudo'!D3:D530,"DIREITO CONSTITUCIONAL",'Diário de estudo'!F3:F530,A18)</f>
        <v/>
      </c>
      <c r="G18" s="36">
        <f>IFERROR(F18/E18,"")</f>
        <v/>
      </c>
      <c r="H18" s="54" t="n"/>
      <c r="I18" s="54" t="n"/>
      <c r="J18" s="54" t="n"/>
      <c r="K18" s="38" t="n"/>
      <c r="L18" s="35">
        <f>IF(COUNTIFS('Diário de estudo'!$D$3:$D$530,"DIREITO CONSTITUCIONAL",'Diário de estudo'!$F$3:$F$530,A18,'Diário de estudo'!$J$3:$J$530,"CONCLUÍDO")&gt;0,"✔ SIM","—")</f>
        <v/>
      </c>
    </row>
    <row r="19">
      <c r="A19" s="34" t="inlineStr">
        <is>
          <t>Poder Constituinte e Princípios Fundamentais</t>
        </is>
      </c>
      <c r="B19" s="35" t="inlineStr">
        <is>
          <t>NÃO</t>
        </is>
      </c>
      <c r="C19" s="35" t="inlineStr">
        <is>
          <t>NÃO</t>
        </is>
      </c>
      <c r="D19" s="35" t="inlineStr">
        <is>
          <t>NÃO</t>
        </is>
      </c>
      <c r="E19" s="35">
        <f>SUMIFS('Diário de estudo'!H3:H530,'Diário de estudo'!D3:D530,"DIREITO CONSTITUCIONAL",'Diário de estudo'!F3:F530,A19)</f>
        <v/>
      </c>
      <c r="F19" s="35">
        <f>SUMIFS('Diário de estudo'!I3:I530,'Diário de estudo'!D3:D530,"DIREITO CONSTITUCIONAL",'Diário de estudo'!F3:F530,A19)</f>
        <v/>
      </c>
      <c r="G19" s="36">
        <f>IFERROR(F19/E19,"")</f>
        <v/>
      </c>
      <c r="H19" s="54" t="n"/>
      <c r="I19" s="54" t="n"/>
      <c r="J19" s="54" t="n"/>
      <c r="K19" s="38" t="n"/>
      <c r="L19" s="35">
        <f>IF(COUNTIFS('Diário de estudo'!$D$3:$D$530,"DIREITO CONSTITUCIONAL",'Diário de estudo'!$F$3:$F$530,A19,'Diário de estudo'!$J$3:$J$530,"CONCLUÍDO")&gt;0,"✔ SIM","—")</f>
        <v/>
      </c>
    </row>
    <row r="20">
      <c r="A20" s="34" t="inlineStr">
        <is>
          <t>Direitos e Garantias Fundamentais</t>
        </is>
      </c>
      <c r="B20" s="35" t="inlineStr">
        <is>
          <t>NÃO</t>
        </is>
      </c>
      <c r="C20" s="35" t="inlineStr">
        <is>
          <t>NÃO</t>
        </is>
      </c>
      <c r="D20" s="35" t="inlineStr">
        <is>
          <t>NÃO</t>
        </is>
      </c>
      <c r="E20" s="35">
        <f>SUMIFS('Diário de estudo'!H3:H530,'Diário de estudo'!D3:D530,"DIREITO CONSTITUCIONAL",'Diário de estudo'!F3:F530,A20)</f>
        <v/>
      </c>
      <c r="F20" s="35">
        <f>SUMIFS('Diário de estudo'!I3:I530,'Diário de estudo'!D3:D530,"DIREITO CONSTITUCIONAL",'Diário de estudo'!F3:F530,A20)</f>
        <v/>
      </c>
      <c r="G20" s="36">
        <f>IFERROR(F20/E20,"")</f>
        <v/>
      </c>
      <c r="H20" s="54" t="n"/>
      <c r="I20" s="54" t="n"/>
      <c r="J20" s="54" t="n"/>
      <c r="K20" s="38" t="n"/>
      <c r="L20" s="35">
        <f>IF(COUNTIFS('Diário de estudo'!$D$3:$D$530,"DIREITO CONSTITUCIONAL",'Diário de estudo'!$F$3:$F$530,A20,'Diário de estudo'!$J$3:$J$530,"CONCLUÍDO")&gt;0,"✔ SIM","—")</f>
        <v/>
      </c>
    </row>
    <row r="21">
      <c r="A21" s="34" t="inlineStr">
        <is>
          <t>Organização do Estado e dos Poderes</t>
        </is>
      </c>
      <c r="B21" s="35" t="inlineStr">
        <is>
          <t>NÃO</t>
        </is>
      </c>
      <c r="C21" s="35" t="inlineStr">
        <is>
          <t>NÃO</t>
        </is>
      </c>
      <c r="D21" s="35" t="inlineStr">
        <is>
          <t>NÃO</t>
        </is>
      </c>
      <c r="E21" s="35">
        <f>SUMIFS('Diário de estudo'!H3:H530,'Diário de estudo'!D3:D530,"DIREITO CONSTITUCIONAL",'Diário de estudo'!F3:F530,A21)</f>
        <v/>
      </c>
      <c r="F21" s="35">
        <f>SUMIFS('Diário de estudo'!I3:I530,'Diário de estudo'!D3:D530,"DIREITO CONSTITUCIONAL",'Diário de estudo'!F3:F530,A21)</f>
        <v/>
      </c>
      <c r="G21" s="36">
        <f>IFERROR(F21/E21,"")</f>
        <v/>
      </c>
      <c r="H21" s="54" t="n"/>
      <c r="I21" s="54" t="n"/>
      <c r="J21" s="54" t="n"/>
      <c r="K21" s="38" t="n"/>
      <c r="L21" s="35">
        <f>IF(COUNTIFS('Diário de estudo'!$D$3:$D$530,"DIREITO CONSTITUCIONAL",'Diário de estudo'!$F$3:$F$530,A21,'Diário de estudo'!$J$3:$J$530,"CONCLUÍDO")&gt;0,"✔ SIM","—")</f>
        <v/>
      </c>
    </row>
    <row r="22">
      <c r="A22" s="34" t="inlineStr">
        <is>
          <t>Controle de Constitucionalidade</t>
        </is>
      </c>
      <c r="B22" s="35" t="inlineStr">
        <is>
          <t>NÃO</t>
        </is>
      </c>
      <c r="C22" s="35" t="inlineStr">
        <is>
          <t>NÃO</t>
        </is>
      </c>
      <c r="D22" s="35" t="inlineStr">
        <is>
          <t>NÃO</t>
        </is>
      </c>
      <c r="E22" s="35">
        <f>SUMIFS('Diário de estudo'!H3:H530,'Diário de estudo'!D3:D530,"DIREITO CONSTITUCIONAL",'Diário de estudo'!F3:F530,A22)</f>
        <v/>
      </c>
      <c r="F22" s="35">
        <f>SUMIFS('Diário de estudo'!I3:I530,'Diário de estudo'!D3:D530,"DIREITO CONSTITUCIONAL",'Diário de estudo'!F3:F530,A22)</f>
        <v/>
      </c>
      <c r="G22" s="36">
        <f>IFERROR(F22/E22,"")</f>
        <v/>
      </c>
      <c r="H22" s="54" t="n"/>
      <c r="I22" s="54" t="n"/>
      <c r="J22" s="54" t="n"/>
      <c r="K22" s="38" t="n"/>
      <c r="L22" s="35">
        <f>IF(COUNTIFS('Diário de estudo'!$D$3:$D$530,"DIREITO CONSTITUCIONAL",'Diário de estudo'!$F$3:$F$530,A22,'Diário de estudo'!$J$3:$J$530,"CONCLUÍDO")&gt;0,"✔ SIM","—")</f>
        <v/>
      </c>
    </row>
    <row r="23">
      <c r="A23" s="34" t="inlineStr">
        <is>
          <t>Administração Pública e Servidores Públicos (CF)</t>
        </is>
      </c>
      <c r="B23" s="35" t="inlineStr">
        <is>
          <t>NÃO</t>
        </is>
      </c>
      <c r="C23" s="35" t="inlineStr">
        <is>
          <t>NÃO</t>
        </is>
      </c>
      <c r="D23" s="35" t="inlineStr">
        <is>
          <t>NÃO</t>
        </is>
      </c>
      <c r="E23" s="35">
        <f>SUMIFS('Diário de estudo'!H3:H530,'Diário de estudo'!D3:D530,"DIREITO CONSTITUCIONAL",'Diário de estudo'!F3:F530,A23)</f>
        <v/>
      </c>
      <c r="F23" s="35">
        <f>SUMIFS('Diário de estudo'!I3:I530,'Diário de estudo'!D3:D530,"DIREITO CONSTITUCIONAL",'Diário de estudo'!F3:F530,A23)</f>
        <v/>
      </c>
      <c r="G23" s="36">
        <f>IFERROR(F23/E23,"")</f>
        <v/>
      </c>
      <c r="H23" s="54" t="n"/>
      <c r="I23" s="54" t="n"/>
      <c r="J23" s="54" t="n"/>
      <c r="K23" s="38" t="n"/>
      <c r="L23" s="35">
        <f>IF(COUNTIFS('Diário de estudo'!$D$3:$D$530,"DIREITO CONSTITUCIONAL",'Diário de estudo'!$F$3:$F$530,A23,'Diário de estudo'!$J$3:$J$530,"CONCLUÍDO")&gt;0,"✔ SIM","—")</f>
        <v/>
      </c>
    </row>
    <row r="24">
      <c r="A24" s="34" t="inlineStr">
        <is>
          <t>Tutelas constitucionais (HC, HD, MS, Ação Popular, ACP)</t>
        </is>
      </c>
      <c r="B24" s="35" t="inlineStr">
        <is>
          <t>NÃO</t>
        </is>
      </c>
      <c r="C24" s="35" t="inlineStr">
        <is>
          <t>NÃO</t>
        </is>
      </c>
      <c r="D24" s="35" t="inlineStr">
        <is>
          <t>NÃO</t>
        </is>
      </c>
      <c r="E24" s="35">
        <f>SUMIFS('Diário de estudo'!H3:H530,'Diário de estudo'!D3:D530,"DIREITO CONSTITUCIONAL",'Diário de estudo'!F3:F530,A24)</f>
        <v/>
      </c>
      <c r="F24" s="35">
        <f>SUMIFS('Diário de estudo'!I3:I530,'Diário de estudo'!D3:D530,"DIREITO CONSTITUCIONAL",'Diário de estudo'!F3:F530,A24)</f>
        <v/>
      </c>
      <c r="G24" s="36">
        <f>IFERROR(F24/E24,"")</f>
        <v/>
      </c>
      <c r="H24" s="54" t="n"/>
      <c r="I24" s="54" t="n"/>
      <c r="J24" s="54" t="n"/>
      <c r="K24" s="38" t="n"/>
      <c r="L24" s="35">
        <f>IF(COUNTIFS('Diário de estudo'!$D$3:$D$530,"DIREITO CONSTITUCIONAL",'Diário de estudo'!$F$3:$F$530,A24,'Diário de estudo'!$J$3:$J$530,"CONCLUÍDO")&gt;0,"✔ SIM","—")</f>
        <v/>
      </c>
    </row>
    <row r="25"/>
    <row r="26">
      <c r="A26" s="32" t="inlineStr">
        <is>
          <t>DIREITO ADMINISTRATIVO</t>
        </is>
      </c>
      <c r="B26" s="22" t="n"/>
      <c r="C26" s="22" t="n"/>
      <c r="D26" s="22" t="n"/>
      <c r="E26" s="22" t="n"/>
      <c r="F26" s="22" t="n"/>
      <c r="G26" s="22" t="n"/>
      <c r="H26" s="22" t="n"/>
      <c r="I26" s="22" t="n"/>
      <c r="J26" s="22" t="n"/>
      <c r="K26" s="33">
        <f>IFERROR(COUNTIF(B27:B34,"SIM")/COUNTA(B27:B34),0)</f>
        <v/>
      </c>
      <c r="L26" s="2" t="inlineStr">
        <is>
          <t>MATEI NO
DIÁRIO?</t>
        </is>
      </c>
    </row>
    <row r="27" ht="30" customHeight="1">
      <c r="A27" s="2" t="inlineStr"/>
      <c r="B27" s="2" t="inlineStr">
        <is>
          <t>MATÉRIA
ESTUDADA</t>
        </is>
      </c>
      <c r="C27" s="2" t="inlineStr">
        <is>
          <t>AULAS /
TEORIA</t>
        </is>
      </c>
      <c r="D27" s="2" t="inlineStr">
        <is>
          <t>JÁ FIZ
QUESTÕES?</t>
        </is>
      </c>
      <c r="E27" s="2" t="inlineStr">
        <is>
          <t>QTD.
EXERC.</t>
        </is>
      </c>
      <c r="F27" s="2" t="inlineStr">
        <is>
          <t>ACERTOS</t>
        </is>
      </c>
      <c r="G27" s="2" t="inlineStr">
        <is>
          <t>DESEMP.
(%)</t>
        </is>
      </c>
      <c r="H27" s="2" t="inlineStr">
        <is>
          <t>REVISÃO
1º</t>
        </is>
      </c>
      <c r="I27" s="2" t="inlineStr">
        <is>
          <t>REVISÃO
2º</t>
        </is>
      </c>
      <c r="J27" s="2" t="inlineStr">
        <is>
          <t>REVISÃO
3º</t>
        </is>
      </c>
      <c r="K27" s="2" t="inlineStr">
        <is>
          <t>ANOTAÇÕES</t>
        </is>
      </c>
    </row>
    <row r="28">
      <c r="A28" s="34" t="inlineStr">
        <is>
          <t>Princípios e Poderes Administrativos</t>
        </is>
      </c>
      <c r="B28" s="35" t="inlineStr">
        <is>
          <t>NÃO</t>
        </is>
      </c>
      <c r="C28" s="35" t="inlineStr">
        <is>
          <t>NÃO</t>
        </is>
      </c>
      <c r="D28" s="35" t="inlineStr">
        <is>
          <t>NÃO</t>
        </is>
      </c>
      <c r="E28" s="35">
        <f>SUMIFS('Diário de estudo'!H3:H530,'Diário de estudo'!D3:D530,"DIREITO ADMINISTRATIVO",'Diário de estudo'!F3:F530,A28)</f>
        <v/>
      </c>
      <c r="F28" s="35">
        <f>SUMIFS('Diário de estudo'!I3:I530,'Diário de estudo'!D3:D530,"DIREITO ADMINISTRATIVO",'Diário de estudo'!F3:F530,A28)</f>
        <v/>
      </c>
      <c r="G28" s="36">
        <f>IFERROR(F28/E28,"")</f>
        <v/>
      </c>
      <c r="H28" s="54" t="n"/>
      <c r="I28" s="54" t="n"/>
      <c r="J28" s="54" t="n"/>
      <c r="K28" s="38" t="n"/>
      <c r="L28" s="35">
        <f>IF(COUNTIFS('Diário de estudo'!$D$3:$D$530,"DIREITO ADMINISTRATIVO",'Diário de estudo'!$F$3:$F$530,A28,'Diário de estudo'!$J$3:$J$530,"CONCLUÍDO")&gt;0,"✔ SIM","—")</f>
        <v/>
      </c>
    </row>
    <row r="29">
      <c r="A29" s="34" t="inlineStr">
        <is>
          <t>Organização Administrativa e Atos Administrativos</t>
        </is>
      </c>
      <c r="B29" s="35" t="inlineStr">
        <is>
          <t>NÃO</t>
        </is>
      </c>
      <c r="C29" s="35" t="inlineStr">
        <is>
          <t>NÃO</t>
        </is>
      </c>
      <c r="D29" s="35" t="inlineStr">
        <is>
          <t>NÃO</t>
        </is>
      </c>
      <c r="E29" s="35">
        <f>SUMIFS('Diário de estudo'!H3:H530,'Diário de estudo'!D3:D530,"DIREITO ADMINISTRATIVO",'Diário de estudo'!F3:F530,A29)</f>
        <v/>
      </c>
      <c r="F29" s="35">
        <f>SUMIFS('Diário de estudo'!I3:I530,'Diário de estudo'!D3:D530,"DIREITO ADMINISTRATIVO",'Diário de estudo'!F3:F530,A29)</f>
        <v/>
      </c>
      <c r="G29" s="36">
        <f>IFERROR(F29/E29,"")</f>
        <v/>
      </c>
      <c r="H29" s="54" t="n"/>
      <c r="I29" s="54" t="n"/>
      <c r="J29" s="54" t="n"/>
      <c r="K29" s="38" t="n"/>
      <c r="L29" s="35">
        <f>IF(COUNTIFS('Diário de estudo'!$D$3:$D$530,"DIREITO ADMINISTRATIVO",'Diário de estudo'!$F$3:$F$530,A29,'Diário de estudo'!$J$3:$J$530,"CONCLUÍDO")&gt;0,"✔ SIM","—")</f>
        <v/>
      </c>
    </row>
    <row r="30">
      <c r="A30" s="34" t="inlineStr">
        <is>
          <t>Responsabilidade Civil do Estado; Controle da Administração</t>
        </is>
      </c>
      <c r="B30" s="35" t="inlineStr">
        <is>
          <t>NÃO</t>
        </is>
      </c>
      <c r="C30" s="35" t="inlineStr">
        <is>
          <t>NÃO</t>
        </is>
      </c>
      <c r="D30" s="35" t="inlineStr">
        <is>
          <t>NÃO</t>
        </is>
      </c>
      <c r="E30" s="35">
        <f>SUMIFS('Diário de estudo'!H3:H530,'Diário de estudo'!D3:D530,"DIREITO ADMINISTRATIVO",'Diário de estudo'!F3:F530,A30)</f>
        <v/>
      </c>
      <c r="F30" s="35">
        <f>SUMIFS('Diário de estudo'!I3:I530,'Diário de estudo'!D3:D530,"DIREITO ADMINISTRATIVO",'Diário de estudo'!F3:F530,A30)</f>
        <v/>
      </c>
      <c r="G30" s="36">
        <f>IFERROR(F30/E30,"")</f>
        <v/>
      </c>
      <c r="H30" s="54" t="n"/>
      <c r="I30" s="54" t="n"/>
      <c r="J30" s="54" t="n"/>
      <c r="K30" s="38" t="n"/>
      <c r="L30" s="35">
        <f>IF(COUNTIFS('Diário de estudo'!$D$3:$D$530,"DIREITO ADMINISTRATIVO",'Diário de estudo'!$F$3:$F$530,A30,'Diário de estudo'!$J$3:$J$530,"CONCLUÍDO")&gt;0,"✔ SIM","—")</f>
        <v/>
      </c>
    </row>
    <row r="31">
      <c r="A31" s="34" t="inlineStr">
        <is>
          <t>Lei 8.666/93, Lei 14.133/2021 e Pregão (Lei 10.520/2002)</t>
        </is>
      </c>
      <c r="B31" s="35" t="inlineStr">
        <is>
          <t>NÃO</t>
        </is>
      </c>
      <c r="C31" s="35" t="inlineStr">
        <is>
          <t>NÃO</t>
        </is>
      </c>
      <c r="D31" s="35" t="inlineStr">
        <is>
          <t>NÃO</t>
        </is>
      </c>
      <c r="E31" s="35">
        <f>SUMIFS('Diário de estudo'!H3:H530,'Diário de estudo'!D3:D530,"DIREITO ADMINISTRATIVO",'Diário de estudo'!F3:F530,A31)</f>
        <v/>
      </c>
      <c r="F31" s="35">
        <f>SUMIFS('Diário de estudo'!I3:I530,'Diário de estudo'!D3:D530,"DIREITO ADMINISTRATIVO",'Diário de estudo'!F3:F530,A31)</f>
        <v/>
      </c>
      <c r="G31" s="36">
        <f>IFERROR(F31/E31,"")</f>
        <v/>
      </c>
      <c r="H31" s="54" t="n"/>
      <c r="I31" s="54" t="n"/>
      <c r="J31" s="54" t="n"/>
      <c r="K31" s="38" t="n"/>
      <c r="L31" s="35">
        <f>IF(COUNTIFS('Diário de estudo'!$D$3:$D$530,"DIREITO ADMINISTRATIVO",'Diário de estudo'!$F$3:$F$530,A31,'Diário de estudo'!$J$3:$J$530,"CONCLUÍDO")&gt;0,"✔ SIM","—")</f>
        <v/>
      </c>
    </row>
    <row r="32">
      <c r="A32" s="34" t="inlineStr">
        <is>
          <t>Serviços Públicos; Agentes Públicos e Concurso Público</t>
        </is>
      </c>
      <c r="B32" s="35" t="inlineStr">
        <is>
          <t>NÃO</t>
        </is>
      </c>
      <c r="C32" s="35" t="inlineStr">
        <is>
          <t>NÃO</t>
        </is>
      </c>
      <c r="D32" s="35" t="inlineStr">
        <is>
          <t>NÃO</t>
        </is>
      </c>
      <c r="E32" s="35">
        <f>SUMIFS('Diário de estudo'!H3:H530,'Diário de estudo'!D3:D530,"DIREITO ADMINISTRATIVO",'Diário de estudo'!F3:F530,A32)</f>
        <v/>
      </c>
      <c r="F32" s="35">
        <f>SUMIFS('Diário de estudo'!I3:I530,'Diário de estudo'!D3:D530,"DIREITO ADMINISTRATIVO",'Diário de estudo'!F3:F530,A32)</f>
        <v/>
      </c>
      <c r="G32" s="36">
        <f>IFERROR(F32/E32,"")</f>
        <v/>
      </c>
      <c r="H32" s="54" t="n"/>
      <c r="I32" s="54" t="n"/>
      <c r="J32" s="54" t="n"/>
      <c r="K32" s="38" t="n"/>
      <c r="L32" s="35">
        <f>IF(COUNTIFS('Diário de estudo'!$D$3:$D$530,"DIREITO ADMINISTRATIVO",'Diário de estudo'!$F$3:$F$530,A32,'Diário de estudo'!$J$3:$J$530,"CONCLUÍDO")&gt;0,"✔ SIM","—")</f>
        <v/>
      </c>
    </row>
    <row r="33">
      <c r="A33" s="34" t="inlineStr">
        <is>
          <t>Improbidade Administrativa</t>
        </is>
      </c>
      <c r="B33" s="35" t="inlineStr">
        <is>
          <t>NÃO</t>
        </is>
      </c>
      <c r="C33" s="35" t="inlineStr">
        <is>
          <t>NÃO</t>
        </is>
      </c>
      <c r="D33" s="35" t="inlineStr">
        <is>
          <t>NÃO</t>
        </is>
      </c>
      <c r="E33" s="35">
        <f>SUMIFS('Diário de estudo'!H3:H530,'Diário de estudo'!D3:D530,"DIREITO ADMINISTRATIVO",'Diário de estudo'!F3:F530,A33)</f>
        <v/>
      </c>
      <c r="F33" s="35">
        <f>SUMIFS('Diário de estudo'!I3:I530,'Diário de estudo'!D3:D530,"DIREITO ADMINISTRATIVO",'Diário de estudo'!F3:F530,A33)</f>
        <v/>
      </c>
      <c r="G33" s="36">
        <f>IFERROR(F33/E33,"")</f>
        <v/>
      </c>
      <c r="H33" s="54" t="n"/>
      <c r="I33" s="54" t="n"/>
      <c r="J33" s="54" t="n"/>
      <c r="K33" s="38" t="n"/>
      <c r="L33" s="35">
        <f>IF(COUNTIFS('Diário de estudo'!$D$3:$D$530,"DIREITO ADMINISTRATIVO",'Diário de estudo'!$F$3:$F$530,A33,'Diário de estudo'!$J$3:$J$530,"CONCLUÍDO")&gt;0,"✔ SIM","—")</f>
        <v/>
      </c>
    </row>
    <row r="34">
      <c r="A34" s="34" t="inlineStr">
        <is>
          <t>Processo Administrativo (Lei 9.784/99) e LAI (Lei 12.527/2011)</t>
        </is>
      </c>
      <c r="B34" s="35" t="inlineStr">
        <is>
          <t>NÃO</t>
        </is>
      </c>
      <c r="C34" s="35" t="inlineStr">
        <is>
          <t>NÃO</t>
        </is>
      </c>
      <c r="D34" s="35" t="inlineStr">
        <is>
          <t>NÃO</t>
        </is>
      </c>
      <c r="E34" s="35">
        <f>SUMIFS('Diário de estudo'!H3:H530,'Diário de estudo'!D3:D530,"DIREITO ADMINISTRATIVO",'Diário de estudo'!F3:F530,A34)</f>
        <v/>
      </c>
      <c r="F34" s="35">
        <f>SUMIFS('Diário de estudo'!I3:I530,'Diário de estudo'!D3:D530,"DIREITO ADMINISTRATIVO",'Diário de estudo'!F3:F530,A34)</f>
        <v/>
      </c>
      <c r="G34" s="36">
        <f>IFERROR(F34/E34,"")</f>
        <v/>
      </c>
      <c r="H34" s="54" t="n"/>
      <c r="I34" s="54" t="n"/>
      <c r="J34" s="54" t="n"/>
      <c r="K34" s="38" t="n"/>
      <c r="L34" s="35">
        <f>IF(COUNTIFS('Diário de estudo'!$D$3:$D$530,"DIREITO ADMINISTRATIVO",'Diário de estudo'!$F$3:$F$530,A34,'Diário de estudo'!$J$3:$J$530,"CONCLUÍDO")&gt;0,"✔ SIM","—")</f>
        <v/>
      </c>
    </row>
    <row r="35">
      <c r="A35" s="34" t="inlineStr">
        <is>
          <t>Lei de Responsabilidade Fiscal (LC 101/2000)</t>
        </is>
      </c>
      <c r="B35" s="35" t="inlineStr">
        <is>
          <t>NÃO</t>
        </is>
      </c>
      <c r="C35" s="35" t="inlineStr">
        <is>
          <t>NÃO</t>
        </is>
      </c>
      <c r="D35" s="35" t="inlineStr">
        <is>
          <t>NÃO</t>
        </is>
      </c>
      <c r="E35" s="35">
        <f>SUMIFS('Diário de estudo'!H3:H530,'Diário de estudo'!D3:D530,"DIREITO ADMINISTRATIVO",'Diário de estudo'!F3:F530,A35)</f>
        <v/>
      </c>
      <c r="F35" s="35">
        <f>SUMIFS('Diário de estudo'!I3:I530,'Diário de estudo'!D3:D530,"DIREITO ADMINISTRATIVO",'Diário de estudo'!F3:F530,A35)</f>
        <v/>
      </c>
      <c r="G35" s="36">
        <f>IFERROR(F35/E35,"")</f>
        <v/>
      </c>
      <c r="H35" s="54" t="n"/>
      <c r="I35" s="54" t="n"/>
      <c r="J35" s="54" t="n"/>
      <c r="K35" s="38" t="n"/>
      <c r="L35" s="35">
        <f>IF(COUNTIFS('Diário de estudo'!$D$3:$D$530,"DIREITO ADMINISTRATIVO",'Diário de estudo'!$F$3:$F$530,A35,'Diário de estudo'!$J$3:$J$530,"CONCLUÍDO")&gt;0,"✔ SIM","—")</f>
        <v/>
      </c>
    </row>
    <row r="36"/>
    <row r="37">
      <c r="A37" s="32" t="inlineStr">
        <is>
          <t>LEGISLAÇÃO INSTITUCIONAL MP</t>
        </is>
      </c>
      <c r="B37" s="22" t="n"/>
      <c r="C37" s="22" t="n"/>
      <c r="D37" s="22" t="n"/>
      <c r="E37" s="22" t="n"/>
      <c r="F37" s="22" t="n"/>
      <c r="G37" s="22" t="n"/>
      <c r="H37" s="22" t="n"/>
      <c r="I37" s="22" t="n"/>
      <c r="J37" s="22" t="n"/>
      <c r="K37" s="33">
        <f>IFERROR(COUNTIF(B38:B42,"SIM")/COUNTA(B38:B42),0)</f>
        <v/>
      </c>
      <c r="L37" s="2" t="inlineStr">
        <is>
          <t>MATEI NO
DIÁRIO?</t>
        </is>
      </c>
    </row>
    <row r="38" ht="30" customHeight="1">
      <c r="A38" s="2" t="inlineStr"/>
      <c r="B38" s="2" t="inlineStr">
        <is>
          <t>MATÉRIA
ESTUDADA</t>
        </is>
      </c>
      <c r="C38" s="2" t="inlineStr">
        <is>
          <t>AULAS /
TEORIA</t>
        </is>
      </c>
      <c r="D38" s="2" t="inlineStr">
        <is>
          <t>JÁ FIZ
QUESTÕES?</t>
        </is>
      </c>
      <c r="E38" s="2" t="inlineStr">
        <is>
          <t>QTD.
EXERC.</t>
        </is>
      </c>
      <c r="F38" s="2" t="inlineStr">
        <is>
          <t>ACERTOS</t>
        </is>
      </c>
      <c r="G38" s="2" t="inlineStr">
        <is>
          <t>DESEMP.
(%)</t>
        </is>
      </c>
      <c r="H38" s="2" t="inlineStr">
        <is>
          <t>REVISÃO
1º</t>
        </is>
      </c>
      <c r="I38" s="2" t="inlineStr">
        <is>
          <t>REVISÃO
2º</t>
        </is>
      </c>
      <c r="J38" s="2" t="inlineStr">
        <is>
          <t>REVISÃO
3º</t>
        </is>
      </c>
      <c r="K38" s="2" t="inlineStr">
        <is>
          <t>ANOTAÇÕES</t>
        </is>
      </c>
    </row>
    <row r="39">
      <c r="A39" s="34" t="inlineStr">
        <is>
          <t>Lei Orgânica Nacional do MP (Lei 8.625/93)</t>
        </is>
      </c>
      <c r="B39" s="35" t="inlineStr">
        <is>
          <t>NÃO</t>
        </is>
      </c>
      <c r="C39" s="35" t="inlineStr">
        <is>
          <t>NÃO</t>
        </is>
      </c>
      <c r="D39" s="35" t="inlineStr">
        <is>
          <t>NÃO</t>
        </is>
      </c>
      <c r="E39" s="35">
        <f>SUMIFS('Diário de estudo'!H3:H530,'Diário de estudo'!D3:D530,"LEGISLAÇÃO INSTITUCIONAL MP",'Diário de estudo'!F3:F530,A39)</f>
        <v/>
      </c>
      <c r="F39" s="35">
        <f>SUMIFS('Diário de estudo'!I3:I530,'Diário de estudo'!D3:D530,"LEGISLAÇÃO INSTITUCIONAL MP",'Diário de estudo'!F3:F530,A39)</f>
        <v/>
      </c>
      <c r="G39" s="36">
        <f>IFERROR(F39/E39,"")</f>
        <v/>
      </c>
      <c r="H39" s="54" t="n"/>
      <c r="I39" s="54" t="n"/>
      <c r="J39" s="54" t="n"/>
      <c r="K39" s="38" t="n"/>
      <c r="L39" s="35">
        <f>IF(COUNTIFS('Diário de estudo'!$D$3:$D$530,"LEGISLAÇÃO INSTITUCIONAL MP",'Diário de estudo'!$F$3:$F$530,A39,'Diário de estudo'!$J$3:$J$530,"CONCLUÍDO")&gt;0,"✔ SIM","—")</f>
        <v/>
      </c>
    </row>
    <row r="40">
      <c r="A40" s="34" t="inlineStr">
        <is>
          <t>Lei Orgânica do MPMS (LC Estadual 72/1994)</t>
        </is>
      </c>
      <c r="B40" s="35" t="inlineStr">
        <is>
          <t>NÃO</t>
        </is>
      </c>
      <c r="C40" s="35" t="inlineStr">
        <is>
          <t>NÃO</t>
        </is>
      </c>
      <c r="D40" s="35" t="inlineStr">
        <is>
          <t>NÃO</t>
        </is>
      </c>
      <c r="E40" s="35">
        <f>SUMIFS('Diário de estudo'!H3:H530,'Diário de estudo'!D3:D530,"LEGISLAÇÃO INSTITUCIONAL MP",'Diário de estudo'!F3:F530,A40)</f>
        <v/>
      </c>
      <c r="F40" s="35">
        <f>SUMIFS('Diário de estudo'!I3:I530,'Diário de estudo'!D3:D530,"LEGISLAÇÃO INSTITUCIONAL MP",'Diário de estudo'!F3:F530,A40)</f>
        <v/>
      </c>
      <c r="G40" s="36">
        <f>IFERROR(F40/E40,"")</f>
        <v/>
      </c>
      <c r="H40" s="54" t="n"/>
      <c r="I40" s="54" t="n"/>
      <c r="J40" s="54" t="n"/>
      <c r="K40" s="38" t="n"/>
      <c r="L40" s="35">
        <f>IF(COUNTIFS('Diário de estudo'!$D$3:$D$530,"LEGISLAÇÃO INSTITUCIONAL MP",'Diário de estudo'!$F$3:$F$530,A40,'Diário de estudo'!$J$3:$J$530,"CONCLUÍDO")&gt;0,"✔ SIM","—")</f>
        <v/>
      </c>
    </row>
    <row r="41">
      <c r="A41" s="34" t="inlineStr">
        <is>
          <t>Estatuto dos Funcionários Públicos do MS (Lei 1.102/1990)</t>
        </is>
      </c>
      <c r="B41" s="35" t="inlineStr">
        <is>
          <t>NÃO</t>
        </is>
      </c>
      <c r="C41" s="35" t="inlineStr">
        <is>
          <t>NÃO</t>
        </is>
      </c>
      <c r="D41" s="35" t="inlineStr">
        <is>
          <t>NÃO</t>
        </is>
      </c>
      <c r="E41" s="35">
        <f>SUMIFS('Diário de estudo'!H3:H530,'Diário de estudo'!D3:D530,"LEGISLAÇÃO INSTITUCIONAL MP",'Diário de estudo'!F3:F530,A41)</f>
        <v/>
      </c>
      <c r="F41" s="35">
        <f>SUMIFS('Diário de estudo'!I3:I530,'Diário de estudo'!D3:D530,"LEGISLAÇÃO INSTITUCIONAL MP",'Diário de estudo'!F3:F530,A41)</f>
        <v/>
      </c>
      <c r="G41" s="36">
        <f>IFERROR(F41/E41,"")</f>
        <v/>
      </c>
      <c r="H41" s="54" t="n"/>
      <c r="I41" s="54" t="n"/>
      <c r="J41" s="54" t="n"/>
      <c r="K41" s="38" t="n"/>
      <c r="L41" s="35">
        <f>IF(COUNTIFS('Diário de estudo'!$D$3:$D$530,"LEGISLAÇÃO INSTITUCIONAL MP",'Diário de estudo'!$F$3:$F$530,A41,'Diário de estudo'!$J$3:$J$530,"CONCLUÍDO")&gt;0,"✔ SIM","—")</f>
        <v/>
      </c>
    </row>
    <row r="42">
      <c r="A42" s="34" t="inlineStr">
        <is>
          <t>Plano de Cargos/Carreiras MPMS (Lei 4.134/2011) + LGPD (Lei 13.709/2018)</t>
        </is>
      </c>
      <c r="B42" s="35" t="inlineStr">
        <is>
          <t>NÃO</t>
        </is>
      </c>
      <c r="C42" s="35" t="inlineStr">
        <is>
          <t>NÃO</t>
        </is>
      </c>
      <c r="D42" s="35" t="inlineStr">
        <is>
          <t>NÃO</t>
        </is>
      </c>
      <c r="E42" s="35">
        <f>SUMIFS('Diário de estudo'!H3:H530,'Diário de estudo'!D3:D530,"LEGISLAÇÃO INSTITUCIONAL MP",'Diário de estudo'!F3:F530,A42)</f>
        <v/>
      </c>
      <c r="F42" s="35">
        <f>SUMIFS('Diário de estudo'!I3:I530,'Diário de estudo'!D3:D530,"LEGISLAÇÃO INSTITUCIONAL MP",'Diário de estudo'!F3:F530,A42)</f>
        <v/>
      </c>
      <c r="G42" s="36">
        <f>IFERROR(F42/E42,"")</f>
        <v/>
      </c>
      <c r="H42" s="54" t="n"/>
      <c r="I42" s="54" t="n"/>
      <c r="J42" s="54" t="n"/>
      <c r="K42" s="38" t="n"/>
      <c r="L42" s="35">
        <f>IF(COUNTIFS('Diário de estudo'!$D$3:$D$530,"LEGISLAÇÃO INSTITUCIONAL MP",'Diário de estudo'!$F$3:$F$530,A42,'Diário de estudo'!$J$3:$J$530,"CONCLUÍDO")&gt;0,"✔ SIM","—")</f>
        <v/>
      </c>
    </row>
    <row r="43">
      <c r="A43" s="34" t="inlineStr">
        <is>
          <t>Política Antifraude e Código de Ética do MPMS</t>
        </is>
      </c>
      <c r="B43" s="35" t="inlineStr">
        <is>
          <t>NÃO</t>
        </is>
      </c>
      <c r="C43" s="35" t="inlineStr">
        <is>
          <t>NÃO</t>
        </is>
      </c>
      <c r="D43" s="35" t="inlineStr">
        <is>
          <t>NÃO</t>
        </is>
      </c>
      <c r="E43" s="35">
        <f>SUMIFS('Diário de estudo'!H3:H530,'Diário de estudo'!D3:D530,"LEGISLAÇÃO INSTITUCIONAL MP",'Diário de estudo'!F3:F530,A43)</f>
        <v/>
      </c>
      <c r="F43" s="35">
        <f>SUMIFS('Diário de estudo'!I3:I530,'Diário de estudo'!D3:D530,"LEGISLAÇÃO INSTITUCIONAL MP",'Diário de estudo'!F3:F530,A43)</f>
        <v/>
      </c>
      <c r="G43" s="36">
        <f>IFERROR(F43/E43,"")</f>
        <v/>
      </c>
      <c r="H43" s="54" t="n"/>
      <c r="I43" s="54" t="n"/>
      <c r="J43" s="54" t="n"/>
      <c r="K43" s="38" t="n"/>
      <c r="L43" s="35">
        <f>IF(COUNTIFS('Diário de estudo'!$D$3:$D$530,"LEGISLAÇÃO INSTITUCIONAL MP",'Diário de estudo'!$F$3:$F$530,A43,'Diário de estudo'!$J$3:$J$530,"CONCLUÍDO")&gt;0,"✔ SIM","—")</f>
        <v/>
      </c>
    </row>
    <row r="44"/>
    <row r="45">
      <c r="A45" s="32" t="inlineStr">
        <is>
          <t>ENGENHARIA DE SOFTWARE</t>
        </is>
      </c>
      <c r="B45" s="22" t="n"/>
      <c r="C45" s="22" t="n"/>
      <c r="D45" s="22" t="n"/>
      <c r="E45" s="22" t="n"/>
      <c r="F45" s="22" t="n"/>
      <c r="G45" s="22" t="n"/>
      <c r="H45" s="22" t="n"/>
      <c r="I45" s="22" t="n"/>
      <c r="J45" s="22" t="n"/>
      <c r="K45" s="33">
        <f>IFERROR(COUNTIF(B46:B51,"SIM")/COUNTA(B46:B51),0)</f>
        <v/>
      </c>
      <c r="L45" s="2" t="inlineStr">
        <is>
          <t>MATEI NO
DIÁRIO?</t>
        </is>
      </c>
    </row>
    <row r="46" ht="30" customHeight="1">
      <c r="A46" s="2" t="inlineStr"/>
      <c r="B46" s="2" t="inlineStr">
        <is>
          <t>MATÉRIA
ESTUDADA</t>
        </is>
      </c>
      <c r="C46" s="2" t="inlineStr">
        <is>
          <t>AULAS /
TEORIA</t>
        </is>
      </c>
      <c r="D46" s="2" t="inlineStr">
        <is>
          <t>JÁ FIZ
QUESTÕES?</t>
        </is>
      </c>
      <c r="E46" s="2" t="inlineStr">
        <is>
          <t>QTD.
EXERC.</t>
        </is>
      </c>
      <c r="F46" s="2" t="inlineStr">
        <is>
          <t>ACERTOS</t>
        </is>
      </c>
      <c r="G46" s="2" t="inlineStr">
        <is>
          <t>DESEMP.
(%)</t>
        </is>
      </c>
      <c r="H46" s="2" t="inlineStr">
        <is>
          <t>REVISÃO
1º</t>
        </is>
      </c>
      <c r="I46" s="2" t="inlineStr">
        <is>
          <t>REVISÃO
2º</t>
        </is>
      </c>
      <c r="J46" s="2" t="inlineStr">
        <is>
          <t>REVISÃO
3º</t>
        </is>
      </c>
      <c r="K46" s="2" t="inlineStr">
        <is>
          <t>ANOTAÇÕES</t>
        </is>
      </c>
    </row>
    <row r="47">
      <c r="A47" s="34" t="inlineStr">
        <is>
          <t>Ciclo de vida e metodologias de desenvolvimento (cascata, ágil)</t>
        </is>
      </c>
      <c r="B47" s="35" t="inlineStr">
        <is>
          <t>NÃO</t>
        </is>
      </c>
      <c r="C47" s="35" t="inlineStr">
        <is>
          <t>NÃO</t>
        </is>
      </c>
      <c r="D47" s="35" t="inlineStr">
        <is>
          <t>NÃO</t>
        </is>
      </c>
      <c r="E47" s="35">
        <f>SUMIFS('Diário de estudo'!H3:H530,'Diário de estudo'!D3:D530,"ENGENHARIA DE SOFTWARE",'Diário de estudo'!F3:F530,A47)</f>
        <v/>
      </c>
      <c r="F47" s="35">
        <f>SUMIFS('Diário de estudo'!I3:I530,'Diário de estudo'!D3:D530,"ENGENHARIA DE SOFTWARE",'Diário de estudo'!F3:F530,A47)</f>
        <v/>
      </c>
      <c r="G47" s="36">
        <f>IFERROR(F47/E47,"")</f>
        <v/>
      </c>
      <c r="H47" s="54" t="n"/>
      <c r="I47" s="54" t="n"/>
      <c r="J47" s="54" t="n"/>
      <c r="K47" s="38" t="n"/>
      <c r="L47" s="35">
        <f>IF(COUNTIFS('Diário de estudo'!$D$3:$D$530,"ENGENHARIA DE SOFTWARE",'Diário de estudo'!$F$3:$F$530,A47,'Diário de estudo'!$J$3:$J$530,"CONCLUÍDO")&gt;0,"✔ SIM","—")</f>
        <v/>
      </c>
    </row>
    <row r="48">
      <c r="A48" s="34" t="inlineStr">
        <is>
          <t>Processos interativo/incremental; práticas ágeis; TDD</t>
        </is>
      </c>
      <c r="B48" s="35" t="inlineStr">
        <is>
          <t>NÃO</t>
        </is>
      </c>
      <c r="C48" s="35" t="inlineStr">
        <is>
          <t>NÃO</t>
        </is>
      </c>
      <c r="D48" s="35" t="inlineStr">
        <is>
          <t>NÃO</t>
        </is>
      </c>
      <c r="E48" s="35">
        <f>SUMIFS('Diário de estudo'!H3:H530,'Diário de estudo'!D3:D530,"ENGENHARIA DE SOFTWARE",'Diário de estudo'!F3:F530,A48)</f>
        <v/>
      </c>
      <c r="F48" s="35">
        <f>SUMIFS('Diário de estudo'!I3:I530,'Diário de estudo'!D3:D530,"ENGENHARIA DE SOFTWARE",'Diário de estudo'!F3:F530,A48)</f>
        <v/>
      </c>
      <c r="G48" s="36">
        <f>IFERROR(F48/E48,"")</f>
        <v/>
      </c>
      <c r="H48" s="54" t="n"/>
      <c r="I48" s="54" t="n"/>
      <c r="J48" s="54" t="n"/>
      <c r="K48" s="38" t="n"/>
      <c r="L48" s="35">
        <f>IF(COUNTIFS('Diário de estudo'!$D$3:$D$530,"ENGENHARIA DE SOFTWARE",'Diário de estudo'!$F$3:$F$530,A48,'Diário de estudo'!$J$3:$J$530,"CONCLUÍDO")&gt;0,"✔ SIM","—")</f>
        <v/>
      </c>
    </row>
    <row r="49">
      <c r="A49" s="34" t="inlineStr">
        <is>
          <t>Gerenciamento de ciclo de vida de aplicações; Integração contínua</t>
        </is>
      </c>
      <c r="B49" s="35" t="inlineStr">
        <is>
          <t>NÃO</t>
        </is>
      </c>
      <c r="C49" s="35" t="inlineStr">
        <is>
          <t>NÃO</t>
        </is>
      </c>
      <c r="D49" s="35" t="inlineStr">
        <is>
          <t>NÃO</t>
        </is>
      </c>
      <c r="E49" s="35">
        <f>SUMIFS('Diário de estudo'!H3:H530,'Diário de estudo'!D3:D530,"ENGENHARIA DE SOFTWARE",'Diário de estudo'!F3:F530,A49)</f>
        <v/>
      </c>
      <c r="F49" s="35">
        <f>SUMIFS('Diário de estudo'!I3:I530,'Diário de estudo'!D3:D530,"ENGENHARIA DE SOFTWARE",'Diário de estudo'!F3:F530,A49)</f>
        <v/>
      </c>
      <c r="G49" s="36">
        <f>IFERROR(F49/E49,"")</f>
        <v/>
      </c>
      <c r="H49" s="54" t="n"/>
      <c r="I49" s="54" t="n"/>
      <c r="J49" s="54" t="n"/>
      <c r="K49" s="38" t="n"/>
      <c r="L49" s="35">
        <f>IF(COUNTIFS('Diário de estudo'!$D$3:$D$530,"ENGENHARIA DE SOFTWARE",'Diário de estudo'!$F$3:$F$530,A49,'Diário de estudo'!$J$3:$J$530,"CONCLUÍDO")&gt;0,"✔ SIM","—")</f>
        <v/>
      </c>
    </row>
    <row r="50">
      <c r="A50" s="34" t="inlineStr">
        <is>
          <t>Requisitos: elicitação, histórias de usuário, MVP, prototipação, personas</t>
        </is>
      </c>
      <c r="B50" s="35" t="inlineStr">
        <is>
          <t>NÃO</t>
        </is>
      </c>
      <c r="C50" s="35" t="inlineStr">
        <is>
          <t>NÃO</t>
        </is>
      </c>
      <c r="D50" s="35" t="inlineStr">
        <is>
          <t>NÃO</t>
        </is>
      </c>
      <c r="E50" s="35">
        <f>SUMIFS('Diário de estudo'!H3:H530,'Diário de estudo'!D3:D530,"ENGENHARIA DE SOFTWARE",'Diário de estudo'!F3:F530,A50)</f>
        <v/>
      </c>
      <c r="F50" s="35">
        <f>SUMIFS('Diário de estudo'!I3:I530,'Diário de estudo'!D3:D530,"ENGENHARIA DE SOFTWARE",'Diário de estudo'!F3:F530,A50)</f>
        <v/>
      </c>
      <c r="G50" s="36">
        <f>IFERROR(F50/E50,"")</f>
        <v/>
      </c>
      <c r="H50" s="54" t="n"/>
      <c r="I50" s="54" t="n"/>
      <c r="J50" s="54" t="n"/>
      <c r="K50" s="38" t="n"/>
      <c r="L50" s="35">
        <f>IF(COUNTIFS('Diário de estudo'!$D$3:$D$530,"ENGENHARIA DE SOFTWARE",'Diário de estudo'!$F$3:$F$530,A50,'Diário de estudo'!$J$3:$J$530,"CONCLUÍDO")&gt;0,"✔ SIM","—")</f>
        <v/>
      </c>
    </row>
    <row r="51">
      <c r="A51" s="34" t="inlineStr">
        <is>
          <t>Diagrama Entidade-Relacionamento (ER) e modelagem</t>
        </is>
      </c>
      <c r="B51" s="35" t="inlineStr">
        <is>
          <t>NÃO</t>
        </is>
      </c>
      <c r="C51" s="35" t="inlineStr">
        <is>
          <t>NÃO</t>
        </is>
      </c>
      <c r="D51" s="35" t="inlineStr">
        <is>
          <t>NÃO</t>
        </is>
      </c>
      <c r="E51" s="35">
        <f>SUMIFS('Diário de estudo'!H3:H530,'Diário de estudo'!D3:D530,"ENGENHARIA DE SOFTWARE",'Diário de estudo'!F3:F530,A51)</f>
        <v/>
      </c>
      <c r="F51" s="35">
        <f>SUMIFS('Diário de estudo'!I3:I530,'Diário de estudo'!D3:D530,"ENGENHARIA DE SOFTWARE",'Diário de estudo'!F3:F530,A51)</f>
        <v/>
      </c>
      <c r="G51" s="36">
        <f>IFERROR(F51/E51,"")</f>
        <v/>
      </c>
      <c r="H51" s="54" t="n"/>
      <c r="I51" s="54" t="n"/>
      <c r="J51" s="54" t="n"/>
      <c r="K51" s="38" t="n"/>
      <c r="L51" s="35">
        <f>IF(COUNTIFS('Diário de estudo'!$D$3:$D$530,"ENGENHARIA DE SOFTWARE",'Diário de estudo'!$F$3:$F$530,A51,'Diário de estudo'!$J$3:$J$530,"CONCLUÍDO")&gt;0,"✔ SIM","—")</f>
        <v/>
      </c>
    </row>
    <row r="52">
      <c r="A52" s="34" t="inlineStr">
        <is>
          <t>DevOps e CI/CD (conceitos e ferramentas)</t>
        </is>
      </c>
      <c r="B52" s="35" t="inlineStr">
        <is>
          <t>NÃO</t>
        </is>
      </c>
      <c r="C52" s="35" t="inlineStr">
        <is>
          <t>NÃO</t>
        </is>
      </c>
      <c r="D52" s="35" t="inlineStr">
        <is>
          <t>NÃO</t>
        </is>
      </c>
      <c r="E52" s="35">
        <f>SUMIFS('Diário de estudo'!H3:H530,'Diário de estudo'!D3:D530,"ENGENHARIA DE SOFTWARE",'Diário de estudo'!F3:F530,A52)</f>
        <v/>
      </c>
      <c r="F52" s="35">
        <f>SUMIFS('Diário de estudo'!I3:I530,'Diário de estudo'!D3:D530,"ENGENHARIA DE SOFTWARE",'Diário de estudo'!F3:F530,A52)</f>
        <v/>
      </c>
      <c r="G52" s="36">
        <f>IFERROR(F52/E52,"")</f>
        <v/>
      </c>
      <c r="H52" s="54" t="n"/>
      <c r="I52" s="54" t="n"/>
      <c r="J52" s="54" t="n"/>
      <c r="K52" s="38" t="n"/>
      <c r="L52" s="35">
        <f>IF(COUNTIFS('Diário de estudo'!$D$3:$D$530,"ENGENHARIA DE SOFTWARE",'Diário de estudo'!$F$3:$F$530,A52,'Diário de estudo'!$J$3:$J$530,"CONCLUÍDO")&gt;0,"✔ SIM","—")</f>
        <v/>
      </c>
    </row>
    <row r="53"/>
    <row r="54">
      <c r="A54" s="32" t="inlineStr">
        <is>
          <t>ARQUITETURA DE SOFTWARE</t>
        </is>
      </c>
      <c r="B54" s="22" t="n"/>
      <c r="C54" s="22" t="n"/>
      <c r="D54" s="22" t="n"/>
      <c r="E54" s="22" t="n"/>
      <c r="F54" s="22" t="n"/>
      <c r="G54" s="22" t="n"/>
      <c r="H54" s="22" t="n"/>
      <c r="I54" s="22" t="n"/>
      <c r="J54" s="22" t="n"/>
      <c r="K54" s="33">
        <f>IFERROR(COUNTIF(B55:B61,"SIM")/COUNTA(B55:B61),0)</f>
        <v/>
      </c>
      <c r="L54" s="2" t="inlineStr">
        <is>
          <t>MATEI NO
DIÁRIO?</t>
        </is>
      </c>
    </row>
    <row r="55" ht="30" customHeight="1">
      <c r="A55" s="2" t="inlineStr"/>
      <c r="B55" s="2" t="inlineStr">
        <is>
          <t>MATÉRIA
ESTUDADA</t>
        </is>
      </c>
      <c r="C55" s="2" t="inlineStr">
        <is>
          <t>AULAS /
TEORIA</t>
        </is>
      </c>
      <c r="D55" s="2" t="inlineStr">
        <is>
          <t>JÁ FIZ
QUESTÕES?</t>
        </is>
      </c>
      <c r="E55" s="2" t="inlineStr">
        <is>
          <t>QTD.
EXERC.</t>
        </is>
      </c>
      <c r="F55" s="2" t="inlineStr">
        <is>
          <t>ACERTOS</t>
        </is>
      </c>
      <c r="G55" s="2" t="inlineStr">
        <is>
          <t>DESEMP.
(%)</t>
        </is>
      </c>
      <c r="H55" s="2" t="inlineStr">
        <is>
          <t>REVISÃO
1º</t>
        </is>
      </c>
      <c r="I55" s="2" t="inlineStr">
        <is>
          <t>REVISÃO
2º</t>
        </is>
      </c>
      <c r="J55" s="2" t="inlineStr">
        <is>
          <t>REVISÃO
3º</t>
        </is>
      </c>
      <c r="K55" s="2" t="inlineStr">
        <is>
          <t>ANOTAÇÕES</t>
        </is>
      </c>
    </row>
    <row r="56">
      <c r="A56" s="34" t="inlineStr">
        <is>
          <t>Padrão MVC; Microsserviços; Arquitetura orientada a eventos</t>
        </is>
      </c>
      <c r="B56" s="35" t="inlineStr">
        <is>
          <t>NÃO</t>
        </is>
      </c>
      <c r="C56" s="35" t="inlineStr">
        <is>
          <t>NÃO</t>
        </is>
      </c>
      <c r="D56" s="35" t="inlineStr">
        <is>
          <t>NÃO</t>
        </is>
      </c>
      <c r="E56" s="35">
        <f>SUMIFS('Diário de estudo'!H3:H530,'Diário de estudo'!D3:D530,"ARQUITETURA DE SOFTWARE",'Diário de estudo'!F3:F530,A56)</f>
        <v/>
      </c>
      <c r="F56" s="35">
        <f>SUMIFS('Diário de estudo'!I3:I530,'Diário de estudo'!D3:D530,"ARQUITETURA DE SOFTWARE",'Diário de estudo'!F3:F530,A56)</f>
        <v/>
      </c>
      <c r="G56" s="36">
        <f>IFERROR(F56/E56,"")</f>
        <v/>
      </c>
      <c r="H56" s="54" t="n"/>
      <c r="I56" s="54" t="n"/>
      <c r="J56" s="54" t="n"/>
      <c r="K56" s="38" t="n"/>
      <c r="L56" s="35">
        <f>IF(COUNTIFS('Diário de estudo'!$D$3:$D$530,"ARQUITETURA DE SOFTWARE",'Diário de estudo'!$F$3:$F$530,A56,'Diário de estudo'!$J$3:$J$530,"CONCLUÍDO")&gt;0,"✔ SIM","—")</f>
        <v/>
      </c>
    </row>
    <row r="57">
      <c r="A57" s="34" t="inlineStr">
        <is>
          <t>Arquitetura Orientada a Serviços (SOA) e interoperabilidade</t>
        </is>
      </c>
      <c r="B57" s="35" t="inlineStr">
        <is>
          <t>NÃO</t>
        </is>
      </c>
      <c r="C57" s="35" t="inlineStr">
        <is>
          <t>NÃO</t>
        </is>
      </c>
      <c r="D57" s="35" t="inlineStr">
        <is>
          <t>NÃO</t>
        </is>
      </c>
      <c r="E57" s="35">
        <f>SUMIFS('Diário de estudo'!H3:H530,'Diário de estudo'!D3:D530,"ARQUITETURA DE SOFTWARE",'Diário de estudo'!F3:F530,A57)</f>
        <v/>
      </c>
      <c r="F57" s="35">
        <f>SUMIFS('Diário de estudo'!I3:I530,'Diário de estudo'!D3:D530,"ARQUITETURA DE SOFTWARE",'Diário de estudo'!F3:F530,A57)</f>
        <v/>
      </c>
      <c r="G57" s="36">
        <f>IFERROR(F57/E57,"")</f>
        <v/>
      </c>
      <c r="H57" s="54" t="n"/>
      <c r="I57" s="54" t="n"/>
      <c r="J57" s="54" t="n"/>
      <c r="K57" s="38" t="n"/>
      <c r="L57" s="35">
        <f>IF(COUNTIFS('Diário de estudo'!$D$3:$D$530,"ARQUITETURA DE SOFTWARE",'Diário de estudo'!$F$3:$F$530,A57,'Diário de estudo'!$J$3:$J$530,"CONCLUÍDO")&gt;0,"✔ SIM","—")</f>
        <v/>
      </c>
    </row>
    <row r="58">
      <c r="A58" s="34" t="inlineStr">
        <is>
          <t>Padrões de projeto (design patterns) e anti-patterns</t>
        </is>
      </c>
      <c r="B58" s="35" t="inlineStr">
        <is>
          <t>NÃO</t>
        </is>
      </c>
      <c r="C58" s="35" t="inlineStr">
        <is>
          <t>NÃO</t>
        </is>
      </c>
      <c r="D58" s="35" t="inlineStr">
        <is>
          <t>NÃO</t>
        </is>
      </c>
      <c r="E58" s="35">
        <f>SUMIFS('Diário de estudo'!H3:H530,'Diário de estudo'!D3:D530,"ARQUITETURA DE SOFTWARE",'Diário de estudo'!F3:F530,A58)</f>
        <v/>
      </c>
      <c r="F58" s="35">
        <f>SUMIFS('Diário de estudo'!I3:I530,'Diário de estudo'!D3:D530,"ARQUITETURA DE SOFTWARE",'Diário de estudo'!F3:F530,A58)</f>
        <v/>
      </c>
      <c r="G58" s="36">
        <f>IFERROR(F58/E58,"")</f>
        <v/>
      </c>
      <c r="H58" s="54" t="n"/>
      <c r="I58" s="54" t="n"/>
      <c r="J58" s="54" t="n"/>
      <c r="K58" s="38" t="n"/>
      <c r="L58" s="35">
        <f>IF(COUNTIFS('Diário de estudo'!$D$3:$D$530,"ARQUITETURA DE SOFTWARE",'Diário de estudo'!$F$3:$F$530,A58,'Diário de estudo'!$J$3:$J$530,"CONCLUÍDO")&gt;0,"✔ SIM","—")</f>
        <v/>
      </c>
    </row>
    <row r="59">
      <c r="A59" s="34" t="inlineStr">
        <is>
          <t>Conteinerização; servidores de aplicação</t>
        </is>
      </c>
      <c r="B59" s="35" t="inlineStr">
        <is>
          <t>NÃO</t>
        </is>
      </c>
      <c r="C59" s="35" t="inlineStr">
        <is>
          <t>NÃO</t>
        </is>
      </c>
      <c r="D59" s="35" t="inlineStr">
        <is>
          <t>NÃO</t>
        </is>
      </c>
      <c r="E59" s="35">
        <f>SUMIFS('Diário de estudo'!H3:H530,'Diário de estudo'!D3:D530,"ARQUITETURA DE SOFTWARE",'Diário de estudo'!F3:F530,A59)</f>
        <v/>
      </c>
      <c r="F59" s="35">
        <f>SUMIFS('Diário de estudo'!I3:I530,'Diário de estudo'!D3:D530,"ARQUITETURA DE SOFTWARE",'Diário de estudo'!F3:F530,A59)</f>
        <v/>
      </c>
      <c r="G59" s="36">
        <f>IFERROR(F59/E59,"")</f>
        <v/>
      </c>
      <c r="H59" s="54" t="n"/>
      <c r="I59" s="54" t="n"/>
      <c r="J59" s="54" t="n"/>
      <c r="K59" s="38" t="n"/>
      <c r="L59" s="35">
        <f>IF(COUNTIFS('Diário de estudo'!$D$3:$D$530,"ARQUITETURA DE SOFTWARE",'Diário de estudo'!$F$3:$F$530,A59,'Diário de estudo'!$J$3:$J$530,"CONCLUÍDO")&gt;0,"✔ SIM","—")</f>
        <v/>
      </c>
    </row>
    <row r="60">
      <c r="A60" s="34" t="inlineStr">
        <is>
          <t>Frameworks de persistência (ORM); serviços de mensageria</t>
        </is>
      </c>
      <c r="B60" s="35" t="inlineStr">
        <is>
          <t>NÃO</t>
        </is>
      </c>
      <c r="C60" s="35" t="inlineStr">
        <is>
          <t>NÃO</t>
        </is>
      </c>
      <c r="D60" s="35" t="inlineStr">
        <is>
          <t>NÃO</t>
        </is>
      </c>
      <c r="E60" s="35">
        <f>SUMIFS('Diário de estudo'!H3:H530,'Diário de estudo'!D3:D530,"ARQUITETURA DE SOFTWARE",'Diário de estudo'!F3:F530,A60)</f>
        <v/>
      </c>
      <c r="F60" s="35">
        <f>SUMIFS('Diário de estudo'!I3:I530,'Diário de estudo'!D3:D530,"ARQUITETURA DE SOFTWARE",'Diário de estudo'!F3:F530,A60)</f>
        <v/>
      </c>
      <c r="G60" s="36">
        <f>IFERROR(F60/E60,"")</f>
        <v/>
      </c>
      <c r="H60" s="54" t="n"/>
      <c r="I60" s="54" t="n"/>
      <c r="J60" s="54" t="n"/>
      <c r="K60" s="38" t="n"/>
      <c r="L60" s="35">
        <f>IF(COUNTIFS('Diário de estudo'!$D$3:$D$530,"ARQUITETURA DE SOFTWARE",'Diário de estudo'!$F$3:$F$530,A60,'Diário de estudo'!$J$3:$J$530,"CONCLUÍDO")&gt;0,"✔ SIM","—")</f>
        <v/>
      </c>
    </row>
    <row r="61">
      <c r="A61" s="34" t="inlineStr">
        <is>
          <t>Padrões SOAP, REST, XML, XSLT, WSDL, JSON, RMI</t>
        </is>
      </c>
      <c r="B61" s="35" t="inlineStr">
        <is>
          <t>NÃO</t>
        </is>
      </c>
      <c r="C61" s="35" t="inlineStr">
        <is>
          <t>NÃO</t>
        </is>
      </c>
      <c r="D61" s="35" t="inlineStr">
        <is>
          <t>NÃO</t>
        </is>
      </c>
      <c r="E61" s="35">
        <f>SUMIFS('Diário de estudo'!H3:H530,'Diário de estudo'!D3:D530,"ARQUITETURA DE SOFTWARE",'Diário de estudo'!F3:F530,A61)</f>
        <v/>
      </c>
      <c r="F61" s="35">
        <f>SUMIFS('Diário de estudo'!I3:I530,'Diário de estudo'!D3:D530,"ARQUITETURA DE SOFTWARE",'Diário de estudo'!F3:F530,A61)</f>
        <v/>
      </c>
      <c r="G61" s="36">
        <f>IFERROR(F61/E61,"")</f>
        <v/>
      </c>
      <c r="H61" s="54" t="n"/>
      <c r="I61" s="54" t="n"/>
      <c r="J61" s="54" t="n"/>
      <c r="K61" s="38" t="n"/>
      <c r="L61" s="35">
        <f>IF(COUNTIFS('Diário de estudo'!$D$3:$D$530,"ARQUITETURA DE SOFTWARE",'Diário de estudo'!$F$3:$F$530,A61,'Diário de estudo'!$J$3:$J$530,"CONCLUÍDO")&gt;0,"✔ SIM","—")</f>
        <v/>
      </c>
    </row>
    <row r="62">
      <c r="A62" s="34" t="inlineStr">
        <is>
          <t>Refatoração, modernização e componentização de software</t>
        </is>
      </c>
      <c r="B62" s="35" t="inlineStr">
        <is>
          <t>NÃO</t>
        </is>
      </c>
      <c r="C62" s="35" t="inlineStr">
        <is>
          <t>NÃO</t>
        </is>
      </c>
      <c r="D62" s="35" t="inlineStr">
        <is>
          <t>NÃO</t>
        </is>
      </c>
      <c r="E62" s="35">
        <f>SUMIFS('Diário de estudo'!H3:H530,'Diário de estudo'!D3:D530,"ARQUITETURA DE SOFTWARE",'Diário de estudo'!F3:F530,A62)</f>
        <v/>
      </c>
      <c r="F62" s="35">
        <f>SUMIFS('Diário de estudo'!I3:I530,'Diário de estudo'!D3:D530,"ARQUITETURA DE SOFTWARE",'Diário de estudo'!F3:F530,A62)</f>
        <v/>
      </c>
      <c r="G62" s="36">
        <f>IFERROR(F62/E62,"")</f>
        <v/>
      </c>
      <c r="H62" s="54" t="n"/>
      <c r="I62" s="54" t="n"/>
      <c r="J62" s="54" t="n"/>
      <c r="K62" s="38" t="n"/>
      <c r="L62" s="35">
        <f>IF(COUNTIFS('Diário de estudo'!$D$3:$D$530,"ARQUITETURA DE SOFTWARE",'Diário de estudo'!$F$3:$F$530,A62,'Diário de estudo'!$J$3:$J$530,"CONCLUÍDO")&gt;0,"✔ SIM","—")</f>
        <v/>
      </c>
    </row>
    <row r="63"/>
    <row r="64">
      <c r="A64" s="32" t="inlineStr">
        <is>
          <t>LINGUAGENS DE PROGRAMAÇÃO</t>
        </is>
      </c>
      <c r="B64" s="22" t="n"/>
      <c r="C64" s="22" t="n"/>
      <c r="D64" s="22" t="n"/>
      <c r="E64" s="22" t="n"/>
      <c r="F64" s="22" t="n"/>
      <c r="G64" s="22" t="n"/>
      <c r="H64" s="22" t="n"/>
      <c r="I64" s="22" t="n"/>
      <c r="J64" s="22" t="n"/>
      <c r="K64" s="33">
        <f>IFERROR(COUNTIF(B65:B70,"SIM")/COUNTA(B65:B70),0)</f>
        <v/>
      </c>
      <c r="L64" s="2" t="inlineStr">
        <is>
          <t>MATEI NO
DIÁRIO?</t>
        </is>
      </c>
    </row>
    <row r="65" ht="30" customHeight="1">
      <c r="A65" s="2" t="inlineStr"/>
      <c r="B65" s="2" t="inlineStr">
        <is>
          <t>MATÉRIA
ESTUDADA</t>
        </is>
      </c>
      <c r="C65" s="2" t="inlineStr">
        <is>
          <t>AULAS /
TEORIA</t>
        </is>
      </c>
      <c r="D65" s="2" t="inlineStr">
        <is>
          <t>JÁ FIZ
QUESTÕES?</t>
        </is>
      </c>
      <c r="E65" s="2" t="inlineStr">
        <is>
          <t>QTD.
EXERC.</t>
        </is>
      </c>
      <c r="F65" s="2" t="inlineStr">
        <is>
          <t>ACERTOS</t>
        </is>
      </c>
      <c r="G65" s="2" t="inlineStr">
        <is>
          <t>DESEMP.
(%)</t>
        </is>
      </c>
      <c r="H65" s="2" t="inlineStr">
        <is>
          <t>REVISÃO
1º</t>
        </is>
      </c>
      <c r="I65" s="2" t="inlineStr">
        <is>
          <t>REVISÃO
2º</t>
        </is>
      </c>
      <c r="J65" s="2" t="inlineStr">
        <is>
          <t>REVISÃO
3º</t>
        </is>
      </c>
      <c r="K65" s="2" t="inlineStr">
        <is>
          <t>ANOTAÇÕES</t>
        </is>
      </c>
    </row>
    <row r="66">
      <c r="A66" s="34" t="inlineStr">
        <is>
          <t>Orientação a Objetos: pilares e características estruturais</t>
        </is>
      </c>
      <c r="B66" s="35" t="inlineStr">
        <is>
          <t>NÃO</t>
        </is>
      </c>
      <c r="C66" s="35" t="inlineStr">
        <is>
          <t>NÃO</t>
        </is>
      </c>
      <c r="D66" s="35" t="inlineStr">
        <is>
          <t>NÃO</t>
        </is>
      </c>
      <c r="E66" s="35">
        <f>SUMIFS('Diário de estudo'!H3:H530,'Diário de estudo'!D3:D530,"LINGUAGENS DE PROGRAMAÇÃO",'Diário de estudo'!F3:F530,A66)</f>
        <v/>
      </c>
      <c r="F66" s="35">
        <f>SUMIFS('Diário de estudo'!I3:I530,'Diário de estudo'!D3:D530,"LINGUAGENS DE PROGRAMAÇÃO",'Diário de estudo'!F3:F530,A66)</f>
        <v/>
      </c>
      <c r="G66" s="36">
        <f>IFERROR(F66/E66,"")</f>
        <v/>
      </c>
      <c r="H66" s="54" t="n"/>
      <c r="I66" s="54" t="n"/>
      <c r="J66" s="54" t="n"/>
      <c r="K66" s="38" t="n"/>
      <c r="L66" s="35">
        <f>IF(COUNTIFS('Diário de estudo'!$D$3:$D$530,"LINGUAGENS DE PROGRAMAÇÃO",'Diário de estudo'!$F$3:$F$530,A66,'Diário de estudo'!$J$3:$J$530,"CONCLUÍDO")&gt;0,"✔ SIM","—")</f>
        <v/>
      </c>
    </row>
    <row r="67">
      <c r="A67" s="34" t="inlineStr">
        <is>
          <t>Coleções, tipos genéricos, threads e escalonamento</t>
        </is>
      </c>
      <c r="B67" s="35" t="inlineStr">
        <is>
          <t>NÃO</t>
        </is>
      </c>
      <c r="C67" s="35" t="inlineStr">
        <is>
          <t>NÃO</t>
        </is>
      </c>
      <c r="D67" s="35" t="inlineStr">
        <is>
          <t>NÃO</t>
        </is>
      </c>
      <c r="E67" s="35">
        <f>SUMIFS('Diário de estudo'!H3:H530,'Diário de estudo'!D3:D530,"LINGUAGENS DE PROGRAMAÇÃO",'Diário de estudo'!F3:F530,A67)</f>
        <v/>
      </c>
      <c r="F67" s="35">
        <f>SUMIFS('Diário de estudo'!I3:I530,'Diário de estudo'!D3:D530,"LINGUAGENS DE PROGRAMAÇÃO",'Diário de estudo'!F3:F530,A67)</f>
        <v/>
      </c>
      <c r="G67" s="36">
        <f>IFERROR(F67/E67,"")</f>
        <v/>
      </c>
      <c r="H67" s="54" t="n"/>
      <c r="I67" s="54" t="n"/>
      <c r="J67" s="54" t="n"/>
      <c r="K67" s="38" t="n"/>
      <c r="L67" s="35">
        <f>IF(COUNTIFS('Diário de estudo'!$D$3:$D$530,"LINGUAGENS DE PROGRAMAÇÃO",'Diário de estudo'!$F$3:$F$530,A67,'Diário de estudo'!$J$3:$J$530,"CONCLUÍDO")&gt;0,"✔ SIM","—")</f>
        <v/>
      </c>
    </row>
    <row r="68">
      <c r="A68" s="34" t="inlineStr">
        <is>
          <t>Tratamento de exceções e anotações</t>
        </is>
      </c>
      <c r="B68" s="35" t="inlineStr">
        <is>
          <t>NÃO</t>
        </is>
      </c>
      <c r="C68" s="35" t="inlineStr">
        <is>
          <t>NÃO</t>
        </is>
      </c>
      <c r="D68" s="35" t="inlineStr">
        <is>
          <t>NÃO</t>
        </is>
      </c>
      <c r="E68" s="35">
        <f>SUMIFS('Diário de estudo'!H3:H530,'Diário de estudo'!D3:D530,"LINGUAGENS DE PROGRAMAÇÃO",'Diário de estudo'!F3:F530,A68)</f>
        <v/>
      </c>
      <c r="F68" s="35">
        <f>SUMIFS('Diário de estudo'!I3:I530,'Diário de estudo'!D3:D530,"LINGUAGENS DE PROGRAMAÇÃO",'Diário de estudo'!F3:F530,A68)</f>
        <v/>
      </c>
      <c r="G68" s="36">
        <f>IFERROR(F68/E68,"")</f>
        <v/>
      </c>
      <c r="H68" s="54" t="n"/>
      <c r="I68" s="54" t="n"/>
      <c r="J68" s="54" t="n"/>
      <c r="K68" s="38" t="n"/>
      <c r="L68" s="35">
        <f>IF(COUNTIFS('Diário de estudo'!$D$3:$D$530,"LINGUAGENS DE PROGRAMAÇÃO",'Diário de estudo'!$F$3:$F$530,A68,'Diário de estudo'!$J$3:$J$530,"CONCLUÍDO")&gt;0,"✔ SIM","—")</f>
        <v/>
      </c>
    </row>
    <row r="69">
      <c r="A69" s="34" t="inlineStr">
        <is>
          <t>HTML5, CSS3 e JavaScript</t>
        </is>
      </c>
      <c r="B69" s="35" t="inlineStr">
        <is>
          <t>NÃO</t>
        </is>
      </c>
      <c r="C69" s="35" t="inlineStr">
        <is>
          <t>NÃO</t>
        </is>
      </c>
      <c r="D69" s="35" t="inlineStr">
        <is>
          <t>NÃO</t>
        </is>
      </c>
      <c r="E69" s="35">
        <f>SUMIFS('Diário de estudo'!H3:H530,'Diário de estudo'!D3:D530,"LINGUAGENS DE PROGRAMAÇÃO",'Diário de estudo'!F3:F530,A69)</f>
        <v/>
      </c>
      <c r="F69" s="35">
        <f>SUMIFS('Diário de estudo'!I3:I530,'Diário de estudo'!D3:D530,"LINGUAGENS DE PROGRAMAÇÃO",'Diário de estudo'!F3:F530,A69)</f>
        <v/>
      </c>
      <c r="G69" s="36">
        <f>IFERROR(F69/E69,"")</f>
        <v/>
      </c>
      <c r="H69" s="54" t="n"/>
      <c r="I69" s="54" t="n"/>
      <c r="J69" s="54" t="n"/>
      <c r="K69" s="38" t="n"/>
      <c r="L69" s="35">
        <f>IF(COUNTIFS('Diário de estudo'!$D$3:$D$530,"LINGUAGENS DE PROGRAMAÇÃO",'Diário de estudo'!$F$3:$F$530,A69,'Diário de estudo'!$J$3:$J$530,"CONCLUÍDO")&gt;0,"✔ SIM","—")</f>
        <v/>
      </c>
    </row>
    <row r="70">
      <c r="A70" s="34" t="inlineStr">
        <is>
          <t>Python 3.7+ (sintaxe, estruturas, boas práticas)</t>
        </is>
      </c>
      <c r="B70" s="35" t="inlineStr">
        <is>
          <t>NÃO</t>
        </is>
      </c>
      <c r="C70" s="35" t="inlineStr">
        <is>
          <t>NÃO</t>
        </is>
      </c>
      <c r="D70" s="35" t="inlineStr">
        <is>
          <t>NÃO</t>
        </is>
      </c>
      <c r="E70" s="35">
        <f>SUMIFS('Diário de estudo'!H3:H530,'Diário de estudo'!D3:D530,"LINGUAGENS DE PROGRAMAÇÃO",'Diário de estudo'!F3:F530,A70)</f>
        <v/>
      </c>
      <c r="F70" s="35">
        <f>SUMIFS('Diário de estudo'!I3:I530,'Diário de estudo'!D3:D530,"LINGUAGENS DE PROGRAMAÇÃO",'Diário de estudo'!F3:F530,A70)</f>
        <v/>
      </c>
      <c r="G70" s="36">
        <f>IFERROR(F70/E70,"")</f>
        <v/>
      </c>
      <c r="H70" s="54" t="n"/>
      <c r="I70" s="54" t="n"/>
      <c r="J70" s="54" t="n"/>
      <c r="K70" s="38" t="n"/>
      <c r="L70" s="35">
        <f>IF(COUNTIFS('Diário de estudo'!$D$3:$D$530,"LINGUAGENS DE PROGRAMAÇÃO",'Diário de estudo'!$F$3:$F$530,A70,'Diário de estudo'!$J$3:$J$530,"CONCLUÍDO")&gt;0,"✔ SIM","—")</f>
        <v/>
      </c>
    </row>
    <row r="71">
      <c r="A71" s="34" t="inlineStr">
        <is>
          <t>Java Core 8+ (sintaxe, streams, coleções)</t>
        </is>
      </c>
      <c r="B71" s="35" t="inlineStr">
        <is>
          <t>NÃO</t>
        </is>
      </c>
      <c r="C71" s="35" t="inlineStr">
        <is>
          <t>NÃO</t>
        </is>
      </c>
      <c r="D71" s="35" t="inlineStr">
        <is>
          <t>NÃO</t>
        </is>
      </c>
      <c r="E71" s="35">
        <f>SUMIFS('Diário de estudo'!H3:H530,'Diário de estudo'!D3:D530,"LINGUAGENS DE PROGRAMAÇÃO",'Diário de estudo'!F3:F530,A71)</f>
        <v/>
      </c>
      <c r="F71" s="35">
        <f>SUMIFS('Diário de estudo'!I3:I530,'Diário de estudo'!D3:D530,"LINGUAGENS DE PROGRAMAÇÃO",'Diário de estudo'!F3:F530,A71)</f>
        <v/>
      </c>
      <c r="G71" s="36">
        <f>IFERROR(F71/E71,"")</f>
        <v/>
      </c>
      <c r="H71" s="54" t="n"/>
      <c r="I71" s="54" t="n"/>
      <c r="J71" s="54" t="n"/>
      <c r="K71" s="38" t="n"/>
      <c r="L71" s="35">
        <f>IF(COUNTIFS('Diário de estudo'!$D$3:$D$530,"LINGUAGENS DE PROGRAMAÇÃO",'Diário de estudo'!$F$3:$F$530,A71,'Diário de estudo'!$J$3:$J$530,"CONCLUÍDO")&gt;0,"✔ SIM","—")</f>
        <v/>
      </c>
    </row>
    <row r="72"/>
    <row r="73">
      <c r="A73" s="32" t="inlineStr">
        <is>
          <t>QUALIDADE DE SOFTWARE</t>
        </is>
      </c>
      <c r="B73" s="22" t="n"/>
      <c r="C73" s="22" t="n"/>
      <c r="D73" s="22" t="n"/>
      <c r="E73" s="22" t="n"/>
      <c r="F73" s="22" t="n"/>
      <c r="G73" s="22" t="n"/>
      <c r="H73" s="22" t="n"/>
      <c r="I73" s="22" t="n"/>
      <c r="J73" s="22" t="n"/>
      <c r="K73" s="33">
        <f>IFERROR(COUNTIF(B74:B78,"SIM")/COUNTA(B74:B78),0)</f>
        <v/>
      </c>
      <c r="L73" s="2" t="inlineStr">
        <is>
          <t>MATEI NO
DIÁRIO?</t>
        </is>
      </c>
    </row>
    <row r="74" ht="30" customHeight="1">
      <c r="A74" s="2" t="inlineStr"/>
      <c r="B74" s="2" t="inlineStr">
        <is>
          <t>MATÉRIA
ESTUDADA</t>
        </is>
      </c>
      <c r="C74" s="2" t="inlineStr">
        <is>
          <t>AULAS /
TEORIA</t>
        </is>
      </c>
      <c r="D74" s="2" t="inlineStr">
        <is>
          <t>JÁ FIZ
QUESTÕES?</t>
        </is>
      </c>
      <c r="E74" s="2" t="inlineStr">
        <is>
          <t>QTD.
EXERC.</t>
        </is>
      </c>
      <c r="F74" s="2" t="inlineStr">
        <is>
          <t>ACERTOS</t>
        </is>
      </c>
      <c r="G74" s="2" t="inlineStr">
        <is>
          <t>DESEMP.
(%)</t>
        </is>
      </c>
      <c r="H74" s="2" t="inlineStr">
        <is>
          <t>REVISÃO
1º</t>
        </is>
      </c>
      <c r="I74" s="2" t="inlineStr">
        <is>
          <t>REVISÃO
2º</t>
        </is>
      </c>
      <c r="J74" s="2" t="inlineStr">
        <is>
          <t>REVISÃO
3º</t>
        </is>
      </c>
      <c r="K74" s="2" t="inlineStr">
        <is>
          <t>ANOTAÇÕES</t>
        </is>
      </c>
    </row>
    <row r="75">
      <c r="A75" s="34" t="inlineStr">
        <is>
          <t>Garantia da qualidade e métricas de código</t>
        </is>
      </c>
      <c r="B75" s="35" t="inlineStr">
        <is>
          <t>NÃO</t>
        </is>
      </c>
      <c r="C75" s="35" t="inlineStr">
        <is>
          <t>NÃO</t>
        </is>
      </c>
      <c r="D75" s="35" t="inlineStr">
        <is>
          <t>NÃO</t>
        </is>
      </c>
      <c r="E75" s="35">
        <f>SUMIFS('Diário de estudo'!H3:H530,'Diário de estudo'!D3:D530,"QUALIDADE DE SOFTWARE",'Diário de estudo'!F3:F530,A75)</f>
        <v/>
      </c>
      <c r="F75" s="35">
        <f>SUMIFS('Diário de estudo'!I3:I530,'Diário de estudo'!D3:D530,"QUALIDADE DE SOFTWARE",'Diário de estudo'!F3:F530,A75)</f>
        <v/>
      </c>
      <c r="G75" s="36">
        <f>IFERROR(F75/E75,"")</f>
        <v/>
      </c>
      <c r="H75" s="54" t="n"/>
      <c r="I75" s="54" t="n"/>
      <c r="J75" s="54" t="n"/>
      <c r="K75" s="38" t="n"/>
      <c r="L75" s="35">
        <f>IF(COUNTIFS('Diário de estudo'!$D$3:$D$530,"QUALIDADE DE SOFTWARE",'Diário de estudo'!$F$3:$F$530,A75,'Diário de estudo'!$J$3:$J$530,"CONCLUÍDO")&gt;0,"✔ SIM","—")</f>
        <v/>
      </c>
    </row>
    <row r="76">
      <c r="A76" s="34" t="inlineStr">
        <is>
          <t>Testes: unitário, integração, funcional, aceitação</t>
        </is>
      </c>
      <c r="B76" s="35" t="inlineStr">
        <is>
          <t>NÃO</t>
        </is>
      </c>
      <c r="C76" s="35" t="inlineStr">
        <is>
          <t>NÃO</t>
        </is>
      </c>
      <c r="D76" s="35" t="inlineStr">
        <is>
          <t>NÃO</t>
        </is>
      </c>
      <c r="E76" s="35">
        <f>SUMIFS('Diário de estudo'!H3:H530,'Diário de estudo'!D3:D530,"QUALIDADE DE SOFTWARE",'Diário de estudo'!F3:F530,A76)</f>
        <v/>
      </c>
      <c r="F76" s="35">
        <f>SUMIFS('Diário de estudo'!I3:I530,'Diário de estudo'!D3:D530,"QUALIDADE DE SOFTWARE",'Diário de estudo'!F3:F530,A76)</f>
        <v/>
      </c>
      <c r="G76" s="36">
        <f>IFERROR(F76/E76,"")</f>
        <v/>
      </c>
      <c r="H76" s="54" t="n"/>
      <c r="I76" s="54" t="n"/>
      <c r="J76" s="54" t="n"/>
      <c r="K76" s="38" t="n"/>
      <c r="L76" s="35">
        <f>IF(COUNTIFS('Diário de estudo'!$D$3:$D$530,"QUALIDADE DE SOFTWARE",'Diário de estudo'!$F$3:$F$530,A76,'Diário de estudo'!$J$3:$J$530,"CONCLUÍDO")&gt;0,"✔ SIM","—")</f>
        <v/>
      </c>
    </row>
    <row r="77">
      <c r="A77" s="34" t="inlineStr">
        <is>
          <t>Testes de desempenho, carga e vulnerabilidade</t>
        </is>
      </c>
      <c r="B77" s="35" t="inlineStr">
        <is>
          <t>NÃO</t>
        </is>
      </c>
      <c r="C77" s="35" t="inlineStr">
        <is>
          <t>NÃO</t>
        </is>
      </c>
      <c r="D77" s="35" t="inlineStr">
        <is>
          <t>NÃO</t>
        </is>
      </c>
      <c r="E77" s="35">
        <f>SUMIFS('Diário de estudo'!H3:H530,'Diário de estudo'!D3:D530,"QUALIDADE DE SOFTWARE",'Diário de estudo'!F3:F530,A77)</f>
        <v/>
      </c>
      <c r="F77" s="35">
        <f>SUMIFS('Diário de estudo'!I3:I530,'Diário de estudo'!D3:D530,"QUALIDADE DE SOFTWARE",'Diário de estudo'!F3:F530,A77)</f>
        <v/>
      </c>
      <c r="G77" s="36">
        <f>IFERROR(F77/E77,"")</f>
        <v/>
      </c>
      <c r="H77" s="54" t="n"/>
      <c r="I77" s="54" t="n"/>
      <c r="J77" s="54" t="n"/>
      <c r="K77" s="38" t="n"/>
      <c r="L77" s="35">
        <f>IF(COUNTIFS('Diário de estudo'!$D$3:$D$530,"QUALIDADE DE SOFTWARE",'Diário de estudo'!$F$3:$F$530,A77,'Diário de estudo'!$J$3:$J$530,"CONCLUÍDO")&gt;0,"✔ SIM","—")</f>
        <v/>
      </c>
    </row>
    <row r="78">
      <c r="A78" s="34" t="inlineStr">
        <is>
          <t>Gerência de configuração de software (Git)</t>
        </is>
      </c>
      <c r="B78" s="35" t="inlineStr">
        <is>
          <t>NÃO</t>
        </is>
      </c>
      <c r="C78" s="35" t="inlineStr">
        <is>
          <t>NÃO</t>
        </is>
      </c>
      <c r="D78" s="35" t="inlineStr">
        <is>
          <t>NÃO</t>
        </is>
      </c>
      <c r="E78" s="35">
        <f>SUMIFS('Diário de estudo'!H3:H530,'Diário de estudo'!D3:D530,"QUALIDADE DE SOFTWARE",'Diário de estudo'!F3:F530,A78)</f>
        <v/>
      </c>
      <c r="F78" s="35">
        <f>SUMIFS('Diário de estudo'!I3:I530,'Diário de estudo'!D3:D530,"QUALIDADE DE SOFTWARE",'Diário de estudo'!F3:F530,A78)</f>
        <v/>
      </c>
      <c r="G78" s="36">
        <f>IFERROR(F78/E78,"")</f>
        <v/>
      </c>
      <c r="H78" s="54" t="n"/>
      <c r="I78" s="54" t="n"/>
      <c r="J78" s="54" t="n"/>
      <c r="K78" s="38" t="n"/>
      <c r="L78" s="35">
        <f>IF(COUNTIFS('Diário de estudo'!$D$3:$D$530,"QUALIDADE DE SOFTWARE",'Diário de estudo'!$F$3:$F$530,A78,'Diário de estudo'!$J$3:$J$530,"CONCLUÍDO")&gt;0,"✔ SIM","—")</f>
        <v/>
      </c>
    </row>
    <row r="79">
      <c r="A79" s="34" t="inlineStr">
        <is>
          <t>Conceitos básicos de auditoria de sistemas</t>
        </is>
      </c>
      <c r="B79" s="35" t="inlineStr">
        <is>
          <t>NÃO</t>
        </is>
      </c>
      <c r="C79" s="35" t="inlineStr">
        <is>
          <t>NÃO</t>
        </is>
      </c>
      <c r="D79" s="35" t="inlineStr">
        <is>
          <t>NÃO</t>
        </is>
      </c>
      <c r="E79" s="35">
        <f>SUMIFS('Diário de estudo'!H3:H530,'Diário de estudo'!D3:D530,"QUALIDADE DE SOFTWARE",'Diário de estudo'!F3:F530,A79)</f>
        <v/>
      </c>
      <c r="F79" s="35">
        <f>SUMIFS('Diário de estudo'!I3:I530,'Diário de estudo'!D3:D530,"QUALIDADE DE SOFTWARE",'Diário de estudo'!F3:F530,A79)</f>
        <v/>
      </c>
      <c r="G79" s="36">
        <f>IFERROR(F79/E79,"")</f>
        <v/>
      </c>
      <c r="H79" s="54" t="n"/>
      <c r="I79" s="54" t="n"/>
      <c r="J79" s="54" t="n"/>
      <c r="K79" s="38" t="n"/>
      <c r="L79" s="35">
        <f>IF(COUNTIFS('Diário de estudo'!$D$3:$D$530,"QUALIDADE DE SOFTWARE",'Diário de estudo'!$F$3:$F$530,A79,'Diário de estudo'!$J$3:$J$530,"CONCLUÍDO")&gt;0,"✔ SIM","—")</f>
        <v/>
      </c>
    </row>
    <row r="80"/>
    <row r="81">
      <c r="A81" s="32" t="inlineStr">
        <is>
          <t>ESTRUTURA DE DADOS E ALGORITMOS</t>
        </is>
      </c>
      <c r="B81" s="22" t="n"/>
      <c r="C81" s="22" t="n"/>
      <c r="D81" s="22" t="n"/>
      <c r="E81" s="22" t="n"/>
      <c r="F81" s="22" t="n"/>
      <c r="G81" s="22" t="n"/>
      <c r="H81" s="22" t="n"/>
      <c r="I81" s="22" t="n"/>
      <c r="J81" s="22" t="n"/>
      <c r="K81" s="33">
        <f>IFERROR(COUNTIF(B82:B86,"SIM")/COUNTA(B82:B86),0)</f>
        <v/>
      </c>
      <c r="L81" s="2" t="inlineStr">
        <is>
          <t>MATEI NO
DIÁRIO?</t>
        </is>
      </c>
    </row>
    <row r="82" ht="30" customHeight="1">
      <c r="A82" s="2" t="inlineStr"/>
      <c r="B82" s="2" t="inlineStr">
        <is>
          <t>MATÉRIA
ESTUDADA</t>
        </is>
      </c>
      <c r="C82" s="2" t="inlineStr">
        <is>
          <t>AULAS /
TEORIA</t>
        </is>
      </c>
      <c r="D82" s="2" t="inlineStr">
        <is>
          <t>JÁ FIZ
QUESTÕES?</t>
        </is>
      </c>
      <c r="E82" s="2" t="inlineStr">
        <is>
          <t>QTD.
EXERC.</t>
        </is>
      </c>
      <c r="F82" s="2" t="inlineStr">
        <is>
          <t>ACERTOS</t>
        </is>
      </c>
      <c r="G82" s="2" t="inlineStr">
        <is>
          <t>DESEMP.
(%)</t>
        </is>
      </c>
      <c r="H82" s="2" t="inlineStr">
        <is>
          <t>REVISÃO
1º</t>
        </is>
      </c>
      <c r="I82" s="2" t="inlineStr">
        <is>
          <t>REVISÃO
2º</t>
        </is>
      </c>
      <c r="J82" s="2" t="inlineStr">
        <is>
          <t>REVISÃO
3º</t>
        </is>
      </c>
      <c r="K82" s="2" t="inlineStr">
        <is>
          <t>ANOTAÇÕES</t>
        </is>
      </c>
    </row>
    <row r="83">
      <c r="A83" s="34" t="inlineStr">
        <is>
          <t>Tipos básicos e abstratos de dados (lista, fila, pilha, árvore)</t>
        </is>
      </c>
      <c r="B83" s="35" t="inlineStr">
        <is>
          <t>NÃO</t>
        </is>
      </c>
      <c r="C83" s="35" t="inlineStr">
        <is>
          <t>NÃO</t>
        </is>
      </c>
      <c r="D83" s="35" t="inlineStr">
        <is>
          <t>NÃO</t>
        </is>
      </c>
      <c r="E83" s="35">
        <f>SUMIFS('Diário de estudo'!H3:H530,'Diário de estudo'!D3:D530,"ESTRUTURA DE DADOS E ALGORITMOS",'Diário de estudo'!F3:F530,A83)</f>
        <v/>
      </c>
      <c r="F83" s="35">
        <f>SUMIFS('Diário de estudo'!I3:I530,'Diário de estudo'!D3:D530,"ESTRUTURA DE DADOS E ALGORITMOS",'Diário de estudo'!F3:F530,A83)</f>
        <v/>
      </c>
      <c r="G83" s="36">
        <f>IFERROR(F83/E83,"")</f>
        <v/>
      </c>
      <c r="H83" s="54" t="n"/>
      <c r="I83" s="54" t="n"/>
      <c r="J83" s="54" t="n"/>
      <c r="K83" s="38" t="n"/>
      <c r="L83" s="35">
        <f>IF(COUNTIFS('Diário de estudo'!$D$3:$D$530,"ESTRUTURA DE DADOS E ALGORITMOS",'Diário de estudo'!$F$3:$F$530,A83,'Diário de estudo'!$J$3:$J$530,"CONCLUÍDO")&gt;0,"✔ SIM","—")</f>
        <v/>
      </c>
    </row>
    <row r="84">
      <c r="A84" s="34" t="inlineStr">
        <is>
          <t>Sub-rotinas: chamada por endereço, referência e valor</t>
        </is>
      </c>
      <c r="B84" s="35" t="inlineStr">
        <is>
          <t>NÃO</t>
        </is>
      </c>
      <c r="C84" s="35" t="inlineStr">
        <is>
          <t>NÃO</t>
        </is>
      </c>
      <c r="D84" s="35" t="inlineStr">
        <is>
          <t>NÃO</t>
        </is>
      </c>
      <c r="E84" s="35">
        <f>SUMIFS('Diário de estudo'!H3:H530,'Diário de estudo'!D3:D530,"ESTRUTURA DE DADOS E ALGORITMOS",'Diário de estudo'!F3:F530,A84)</f>
        <v/>
      </c>
      <c r="F84" s="35">
        <f>SUMIFS('Diário de estudo'!I3:I530,'Diário de estudo'!D3:D530,"ESTRUTURA DE DADOS E ALGORITMOS",'Diário de estudo'!F3:F530,A84)</f>
        <v/>
      </c>
      <c r="G84" s="36">
        <f>IFERROR(F84/E84,"")</f>
        <v/>
      </c>
      <c r="H84" s="54" t="n"/>
      <c r="I84" s="54" t="n"/>
      <c r="J84" s="54" t="n"/>
      <c r="K84" s="38" t="n"/>
      <c r="L84" s="35">
        <f>IF(COUNTIFS('Diário de estudo'!$D$3:$D$530,"ESTRUTURA DE DADOS E ALGORITMOS",'Diário de estudo'!$F$3:$F$530,A84,'Diário de estudo'!$J$3:$J$530,"CONCLUÍDO")&gt;0,"✔ SIM","—")</f>
        <v/>
      </c>
    </row>
    <row r="85">
      <c r="A85" s="34" t="inlineStr">
        <is>
          <t>Algoritmos de pesquisa e ordenação</t>
        </is>
      </c>
      <c r="B85" s="35" t="inlineStr">
        <is>
          <t>NÃO</t>
        </is>
      </c>
      <c r="C85" s="35" t="inlineStr">
        <is>
          <t>NÃO</t>
        </is>
      </c>
      <c r="D85" s="35" t="inlineStr">
        <is>
          <t>NÃO</t>
        </is>
      </c>
      <c r="E85" s="35">
        <f>SUMIFS('Diário de estudo'!H3:H530,'Diário de estudo'!D3:D530,"ESTRUTURA DE DADOS E ALGORITMOS",'Diário de estudo'!F3:F530,A85)</f>
        <v/>
      </c>
      <c r="F85" s="35">
        <f>SUMIFS('Diário de estudo'!I3:I530,'Diário de estudo'!D3:D530,"ESTRUTURA DE DADOS E ALGORITMOS",'Diário de estudo'!F3:F530,A85)</f>
        <v/>
      </c>
      <c r="G85" s="36">
        <f>IFERROR(F85/E85,"")</f>
        <v/>
      </c>
      <c r="H85" s="54" t="n"/>
      <c r="I85" s="54" t="n"/>
      <c r="J85" s="54" t="n"/>
      <c r="K85" s="38" t="n"/>
      <c r="L85" s="35">
        <f>IF(COUNTIFS('Diário de estudo'!$D$3:$D$530,"ESTRUTURA DE DADOS E ALGORITMOS",'Diário de estudo'!$F$3:$F$530,A85,'Diário de estudo'!$J$3:$J$530,"CONCLUÍDO")&gt;0,"✔ SIM","—")</f>
        <v/>
      </c>
    </row>
    <row r="86">
      <c r="A86" s="34" t="inlineStr">
        <is>
          <t>Listas lineares, encadeadas, vetores e matrizes</t>
        </is>
      </c>
      <c r="B86" s="35" t="inlineStr">
        <is>
          <t>NÃO</t>
        </is>
      </c>
      <c r="C86" s="35" t="inlineStr">
        <is>
          <t>NÃO</t>
        </is>
      </c>
      <c r="D86" s="35" t="inlineStr">
        <is>
          <t>NÃO</t>
        </is>
      </c>
      <c r="E86" s="35">
        <f>SUMIFS('Diário de estudo'!H3:H530,'Diário de estudo'!D3:D530,"ESTRUTURA DE DADOS E ALGORITMOS",'Diário de estudo'!F3:F530,A86)</f>
        <v/>
      </c>
      <c r="F86" s="35">
        <f>SUMIFS('Diário de estudo'!I3:I530,'Diário de estudo'!D3:D530,"ESTRUTURA DE DADOS E ALGORITMOS",'Diário de estudo'!F3:F530,A86)</f>
        <v/>
      </c>
      <c r="G86" s="36">
        <f>IFERROR(F86/E86,"")</f>
        <v/>
      </c>
      <c r="H86" s="54" t="n"/>
      <c r="I86" s="54" t="n"/>
      <c r="J86" s="54" t="n"/>
      <c r="K86" s="38" t="n"/>
      <c r="L86" s="35">
        <f>IF(COUNTIFS('Diário de estudo'!$D$3:$D$530,"ESTRUTURA DE DADOS E ALGORITMOS",'Diário de estudo'!$F$3:$F$530,A86,'Diário de estudo'!$J$3:$J$530,"CONCLUÍDO")&gt;0,"✔ SIM","—")</f>
        <v/>
      </c>
    </row>
    <row r="87">
      <c r="A87" s="34" t="inlineStr">
        <is>
          <t>Programação recursiva</t>
        </is>
      </c>
      <c r="B87" s="35" t="inlineStr">
        <is>
          <t>NÃO</t>
        </is>
      </c>
      <c r="C87" s="35" t="inlineStr">
        <is>
          <t>NÃO</t>
        </is>
      </c>
      <c r="D87" s="35" t="inlineStr">
        <is>
          <t>NÃO</t>
        </is>
      </c>
      <c r="E87" s="35">
        <f>SUMIFS('Diário de estudo'!H3:H530,'Diário de estudo'!D3:D530,"ESTRUTURA DE DADOS E ALGORITMOS",'Diário de estudo'!F3:F530,A87)</f>
        <v/>
      </c>
      <c r="F87" s="35">
        <f>SUMIFS('Diário de estudo'!I3:I530,'Diário de estudo'!D3:D530,"ESTRUTURA DE DADOS E ALGORITMOS",'Diário de estudo'!F3:F530,A87)</f>
        <v/>
      </c>
      <c r="G87" s="36">
        <f>IFERROR(F87/E87,"")</f>
        <v/>
      </c>
      <c r="H87" s="54" t="n"/>
      <c r="I87" s="54" t="n"/>
      <c r="J87" s="54" t="n"/>
      <c r="K87" s="38" t="n"/>
      <c r="L87" s="35">
        <f>IF(COUNTIFS('Diário de estudo'!$D$3:$D$530,"ESTRUTURA DE DADOS E ALGORITMOS",'Diário de estudo'!$F$3:$F$530,A87,'Diário de estudo'!$J$3:$J$530,"CONCLUÍDO")&gt;0,"✔ SIM","—")</f>
        <v/>
      </c>
    </row>
    <row r="88"/>
    <row r="89">
      <c r="A89" s="32" t="inlineStr">
        <is>
          <t>ARQUITETURA / BANCO DE DADOS</t>
        </is>
      </c>
      <c r="B89" s="22" t="n"/>
      <c r="C89" s="22" t="n"/>
      <c r="D89" s="22" t="n"/>
      <c r="E89" s="22" t="n"/>
      <c r="F89" s="22" t="n"/>
      <c r="G89" s="22" t="n"/>
      <c r="H89" s="22" t="n"/>
      <c r="I89" s="22" t="n"/>
      <c r="J89" s="22" t="n"/>
      <c r="K89" s="33">
        <f>IFERROR(COUNTIF(B90:B96,"SIM")/COUNTA(B90:B96),0)</f>
        <v/>
      </c>
      <c r="L89" s="2" t="inlineStr">
        <is>
          <t>MATEI NO
DIÁRIO?</t>
        </is>
      </c>
    </row>
    <row r="90" ht="30" customHeight="1">
      <c r="A90" s="2" t="inlineStr"/>
      <c r="B90" s="2" t="inlineStr">
        <is>
          <t>MATÉRIA
ESTUDADA</t>
        </is>
      </c>
      <c r="C90" s="2" t="inlineStr">
        <is>
          <t>AULAS /
TEORIA</t>
        </is>
      </c>
      <c r="D90" s="2" t="inlineStr">
        <is>
          <t>JÁ FIZ
QUESTÕES?</t>
        </is>
      </c>
      <c r="E90" s="2" t="inlineStr">
        <is>
          <t>QTD.
EXERC.</t>
        </is>
      </c>
      <c r="F90" s="2" t="inlineStr">
        <is>
          <t>ACERTOS</t>
        </is>
      </c>
      <c r="G90" s="2" t="inlineStr">
        <is>
          <t>DESEMP.
(%)</t>
        </is>
      </c>
      <c r="H90" s="2" t="inlineStr">
        <is>
          <t>REVISÃO
1º</t>
        </is>
      </c>
      <c r="I90" s="2" t="inlineStr">
        <is>
          <t>REVISÃO
2º</t>
        </is>
      </c>
      <c r="J90" s="2" t="inlineStr">
        <is>
          <t>REVISÃO
3º</t>
        </is>
      </c>
      <c r="K90" s="2" t="inlineStr">
        <is>
          <t>ANOTAÇÕES</t>
        </is>
      </c>
    </row>
    <row r="91">
      <c r="A91" s="34" t="inlineStr">
        <is>
          <t>Modelagem de dados: conceitual, lógica e física</t>
        </is>
      </c>
      <c r="B91" s="35" t="inlineStr">
        <is>
          <t>NÃO</t>
        </is>
      </c>
      <c r="C91" s="35" t="inlineStr">
        <is>
          <t>NÃO</t>
        </is>
      </c>
      <c r="D91" s="35" t="inlineStr">
        <is>
          <t>NÃO</t>
        </is>
      </c>
      <c r="E91" s="35">
        <f>SUMIFS('Diário de estudo'!H3:H530,'Diário de estudo'!D3:D530,"ARQUITETURA / BANCO DE DADOS",'Diário de estudo'!F3:F530,A91)</f>
        <v/>
      </c>
      <c r="F91" s="35">
        <f>SUMIFS('Diário de estudo'!I3:I530,'Diário de estudo'!D3:D530,"ARQUITETURA / BANCO DE DADOS",'Diário de estudo'!F3:F530,A91)</f>
        <v/>
      </c>
      <c r="G91" s="36">
        <f>IFERROR(F91/E91,"")</f>
        <v/>
      </c>
      <c r="H91" s="54" t="n"/>
      <c r="I91" s="54" t="n"/>
      <c r="J91" s="54" t="n"/>
      <c r="K91" s="38" t="n"/>
      <c r="L91" s="35">
        <f>IF(COUNTIFS('Diário de estudo'!$D$3:$D$530,"ARQUITETURA / BANCO DE DADOS",'Diário de estudo'!$F$3:$F$530,A91,'Diário de estudo'!$J$3:$J$530,"CONCLUÍDO")&gt;0,"✔ SIM","—")</f>
        <v/>
      </c>
    </row>
    <row r="92">
      <c r="A92" s="34" t="inlineStr">
        <is>
          <t>Normalização, integridade referencial e metadados</t>
        </is>
      </c>
      <c r="B92" s="35" t="inlineStr">
        <is>
          <t>NÃO</t>
        </is>
      </c>
      <c r="C92" s="35" t="inlineStr">
        <is>
          <t>NÃO</t>
        </is>
      </c>
      <c r="D92" s="35" t="inlineStr">
        <is>
          <t>NÃO</t>
        </is>
      </c>
      <c r="E92" s="35">
        <f>SUMIFS('Diário de estudo'!H3:H530,'Diário de estudo'!D3:D530,"ARQUITETURA / BANCO DE DADOS",'Diário de estudo'!F3:F530,A92)</f>
        <v/>
      </c>
      <c r="F92" s="35">
        <f>SUMIFS('Diário de estudo'!I3:I530,'Diário de estudo'!D3:D530,"ARQUITETURA / BANCO DE DADOS",'Diário de estudo'!F3:F530,A92)</f>
        <v/>
      </c>
      <c r="G92" s="36">
        <f>IFERROR(F92/E92,"")</f>
        <v/>
      </c>
      <c r="H92" s="54" t="n"/>
      <c r="I92" s="54" t="n"/>
      <c r="J92" s="54" t="n"/>
      <c r="K92" s="38" t="n"/>
      <c r="L92" s="35">
        <f>IF(COUNTIFS('Diário de estudo'!$D$3:$D$530,"ARQUITETURA / BANCO DE DADOS",'Diário de estudo'!$F$3:$F$530,A92,'Diário de estudo'!$J$3:$J$530,"CONCLUÍDO")&gt;0,"✔ SIM","—")</f>
        <v/>
      </c>
    </row>
    <row r="93">
      <c r="A93" s="34" t="inlineStr">
        <is>
          <t>Modelagem dimensional e avaliação de modelos</t>
        </is>
      </c>
      <c r="B93" s="35" t="inlineStr">
        <is>
          <t>NÃO</t>
        </is>
      </c>
      <c r="C93" s="35" t="inlineStr">
        <is>
          <t>NÃO</t>
        </is>
      </c>
      <c r="D93" s="35" t="inlineStr">
        <is>
          <t>NÃO</t>
        </is>
      </c>
      <c r="E93" s="35">
        <f>SUMIFS('Diário de estudo'!H3:H530,'Diário de estudo'!D3:D530,"ARQUITETURA / BANCO DE DADOS",'Diário de estudo'!F3:F530,A93)</f>
        <v/>
      </c>
      <c r="F93" s="35">
        <f>SUMIFS('Diário de estudo'!I3:I530,'Diário de estudo'!D3:D530,"ARQUITETURA / BANCO DE DADOS",'Diário de estudo'!F3:F530,A93)</f>
        <v/>
      </c>
      <c r="G93" s="36">
        <f>IFERROR(F93/E93,"")</f>
        <v/>
      </c>
      <c r="H93" s="54" t="n"/>
      <c r="I93" s="54" t="n"/>
      <c r="J93" s="54" t="n"/>
      <c r="K93" s="38" t="n"/>
      <c r="L93" s="35">
        <f>IF(COUNTIFS('Diário de estudo'!$D$3:$D$530,"ARQUITETURA / BANCO DE DADOS",'Diário de estudo'!$F$3:$F$530,A93,'Diário de estudo'!$J$3:$J$530,"CONCLUÍDO")&gt;0,"✔ SIM","—")</f>
        <v/>
      </c>
    </row>
    <row r="94">
      <c r="A94" s="34" t="inlineStr">
        <is>
          <t>SQL: DDL, DML, DCL, DTL</t>
        </is>
      </c>
      <c r="B94" s="35" t="inlineStr">
        <is>
          <t>NÃO</t>
        </is>
      </c>
      <c r="C94" s="35" t="inlineStr">
        <is>
          <t>NÃO</t>
        </is>
      </c>
      <c r="D94" s="35" t="inlineStr">
        <is>
          <t>NÃO</t>
        </is>
      </c>
      <c r="E94" s="35">
        <f>SUMIFS('Diário de estudo'!H3:H530,'Diário de estudo'!D3:D530,"ARQUITETURA / BANCO DE DADOS",'Diário de estudo'!F3:F530,A94)</f>
        <v/>
      </c>
      <c r="F94" s="35">
        <f>SUMIFS('Diário de estudo'!I3:I530,'Diário de estudo'!D3:D530,"ARQUITETURA / BANCO DE DADOS",'Diário de estudo'!F3:F530,A94)</f>
        <v/>
      </c>
      <c r="G94" s="36">
        <f>IFERROR(F94/E94,"")</f>
        <v/>
      </c>
      <c r="H94" s="54" t="n"/>
      <c r="I94" s="54" t="n"/>
      <c r="J94" s="54" t="n"/>
      <c r="K94" s="38" t="n"/>
      <c r="L94" s="35">
        <f>IF(COUNTIFS('Diário de estudo'!$D$3:$D$530,"ARQUITETURA / BANCO DE DADOS",'Diário de estudo'!$F$3:$F$530,A94,'Diário de estudo'!$J$3:$J$530,"CONCLUÍDO")&gt;0,"✔ SIM","—")</f>
        <v/>
      </c>
    </row>
    <row r="95">
      <c r="A95" s="34" t="inlineStr">
        <is>
          <t>ACID, transações e performance de banco de dados</t>
        </is>
      </c>
      <c r="B95" s="35" t="inlineStr">
        <is>
          <t>NÃO</t>
        </is>
      </c>
      <c r="C95" s="35" t="inlineStr">
        <is>
          <t>NÃO</t>
        </is>
      </c>
      <c r="D95" s="35" t="inlineStr">
        <is>
          <t>NÃO</t>
        </is>
      </c>
      <c r="E95" s="35">
        <f>SUMIFS('Diário de estudo'!H3:H530,'Diário de estudo'!D3:D530,"ARQUITETURA / BANCO DE DADOS",'Diário de estudo'!F3:F530,A95)</f>
        <v/>
      </c>
      <c r="F95" s="35">
        <f>SUMIFS('Diário de estudo'!I3:I530,'Diário de estudo'!D3:D530,"ARQUITETURA / BANCO DE DADOS",'Diário de estudo'!F3:F530,A95)</f>
        <v/>
      </c>
      <c r="G95" s="36">
        <f>IFERROR(F95/E95,"")</f>
        <v/>
      </c>
      <c r="H95" s="54" t="n"/>
      <c r="I95" s="54" t="n"/>
      <c r="J95" s="54" t="n"/>
      <c r="K95" s="38" t="n"/>
      <c r="L95" s="35">
        <f>IF(COUNTIFS('Diário de estudo'!$D$3:$D$530,"ARQUITETURA / BANCO DE DADOS",'Diário de estudo'!$F$3:$F$530,A95,'Diário de estudo'!$J$3:$J$530,"CONCLUÍDO")&gt;0,"✔ SIM","—")</f>
        <v/>
      </c>
    </row>
    <row r="96">
      <c r="A96" s="34" t="inlineStr">
        <is>
          <t>ETL e integração de dados; BI e mapeamento de fontes</t>
        </is>
      </c>
      <c r="B96" s="35" t="inlineStr">
        <is>
          <t>NÃO</t>
        </is>
      </c>
      <c r="C96" s="35" t="inlineStr">
        <is>
          <t>NÃO</t>
        </is>
      </c>
      <c r="D96" s="35" t="inlineStr">
        <is>
          <t>NÃO</t>
        </is>
      </c>
      <c r="E96" s="35">
        <f>SUMIFS('Diário de estudo'!H3:H530,'Diário de estudo'!D3:D530,"ARQUITETURA / BANCO DE DADOS",'Diário de estudo'!F3:F530,A96)</f>
        <v/>
      </c>
      <c r="F96" s="35">
        <f>SUMIFS('Diário de estudo'!I3:I530,'Diário de estudo'!D3:D530,"ARQUITETURA / BANCO DE DADOS",'Diário de estudo'!F3:F530,A96)</f>
        <v/>
      </c>
      <c r="G96" s="36">
        <f>IFERROR(F96/E96,"")</f>
        <v/>
      </c>
      <c r="H96" s="54" t="n"/>
      <c r="I96" s="54" t="n"/>
      <c r="J96" s="54" t="n"/>
      <c r="K96" s="38" t="n"/>
      <c r="L96" s="35">
        <f>IF(COUNTIFS('Diário de estudo'!$D$3:$D$530,"ARQUITETURA / BANCO DE DADOS",'Diário de estudo'!$F$3:$F$530,A96,'Diário de estudo'!$J$3:$J$530,"CONCLUÍDO")&gt;0,"✔ SIM","—")</f>
        <v/>
      </c>
    </row>
    <row r="97">
      <c r="A97" s="34" t="inlineStr">
        <is>
          <t>Manipulação de dados em planilhas; bases multidimensionais</t>
        </is>
      </c>
      <c r="B97" s="35" t="inlineStr">
        <is>
          <t>NÃO</t>
        </is>
      </c>
      <c r="C97" s="35" t="inlineStr">
        <is>
          <t>NÃO</t>
        </is>
      </c>
      <c r="D97" s="35" t="inlineStr">
        <is>
          <t>NÃO</t>
        </is>
      </c>
      <c r="E97" s="35">
        <f>SUMIFS('Diário de estudo'!H3:H530,'Diário de estudo'!D3:D530,"ARQUITETURA / BANCO DE DADOS",'Diário de estudo'!F3:F530,A97)</f>
        <v/>
      </c>
      <c r="F97" s="35">
        <f>SUMIFS('Diário de estudo'!I3:I530,'Diário de estudo'!D3:D530,"ARQUITETURA / BANCO DE DADOS",'Diário de estudo'!F3:F530,A97)</f>
        <v/>
      </c>
      <c r="G97" s="36">
        <f>IFERROR(F97/E97,"")</f>
        <v/>
      </c>
      <c r="H97" s="54" t="n"/>
      <c r="I97" s="54" t="n"/>
      <c r="J97" s="54" t="n"/>
      <c r="K97" s="38" t="n"/>
      <c r="L97" s="35">
        <f>IF(COUNTIFS('Diário de estudo'!$D$3:$D$530,"ARQUITETURA / BANCO DE DADOS",'Diário de estudo'!$F$3:$F$530,A97,'Diário de estudo'!$J$3:$J$530,"CONCLUÍDO")&gt;0,"✔ SIM","—")</f>
        <v/>
      </c>
    </row>
    <row r="98"/>
    <row r="99">
      <c r="A99" s="32" t="inlineStr">
        <is>
          <t>SEGURANÇA DA INFORMAÇÃO</t>
        </is>
      </c>
      <c r="B99" s="22" t="n"/>
      <c r="C99" s="22" t="n"/>
      <c r="D99" s="22" t="n"/>
      <c r="E99" s="22" t="n"/>
      <c r="F99" s="22" t="n"/>
      <c r="G99" s="22" t="n"/>
      <c r="H99" s="22" t="n"/>
      <c r="I99" s="22" t="n"/>
      <c r="J99" s="22" t="n"/>
      <c r="K99" s="33">
        <f>IFERROR(COUNTIF(B100:B102,"SIM")/COUNTA(B100:B102),0)</f>
        <v/>
      </c>
      <c r="L99" s="2" t="inlineStr">
        <is>
          <t>MATEI NO
DIÁRIO?</t>
        </is>
      </c>
    </row>
    <row r="100" ht="30" customHeight="1">
      <c r="A100" s="2" t="inlineStr"/>
      <c r="B100" s="2" t="inlineStr">
        <is>
          <t>MATÉRIA
ESTUDADA</t>
        </is>
      </c>
      <c r="C100" s="2" t="inlineStr">
        <is>
          <t>AULAS /
TEORIA</t>
        </is>
      </c>
      <c r="D100" s="2" t="inlineStr">
        <is>
          <t>JÁ FIZ
QUESTÕES?</t>
        </is>
      </c>
      <c r="E100" s="2" t="inlineStr">
        <is>
          <t>QTD.
EXERC.</t>
        </is>
      </c>
      <c r="F100" s="2" t="inlineStr">
        <is>
          <t>ACERTOS</t>
        </is>
      </c>
      <c r="G100" s="2" t="inlineStr">
        <is>
          <t>DESEMP.
(%)</t>
        </is>
      </c>
      <c r="H100" s="2" t="inlineStr">
        <is>
          <t>REVISÃO
1º</t>
        </is>
      </c>
      <c r="I100" s="2" t="inlineStr">
        <is>
          <t>REVISÃO
2º</t>
        </is>
      </c>
      <c r="J100" s="2" t="inlineStr">
        <is>
          <t>REVISÃO
3º</t>
        </is>
      </c>
      <c r="K100" s="2" t="inlineStr">
        <is>
          <t>ANOTAÇÕES</t>
        </is>
      </c>
    </row>
    <row r="101">
      <c r="A101" s="34" t="inlineStr">
        <is>
          <t>Desenvolvimento seguro: SAST / DAST / IAST</t>
        </is>
      </c>
      <c r="B101" s="35" t="inlineStr">
        <is>
          <t>NÃO</t>
        </is>
      </c>
      <c r="C101" s="35" t="inlineStr">
        <is>
          <t>NÃO</t>
        </is>
      </c>
      <c r="D101" s="35" t="inlineStr">
        <is>
          <t>NÃO</t>
        </is>
      </c>
      <c r="E101" s="35">
        <f>SUMIFS('Diário de estudo'!H3:H530,'Diário de estudo'!D3:D530,"SEGURANÇA DA INFORMAÇÃO",'Diário de estudo'!F3:F530,A101)</f>
        <v/>
      </c>
      <c r="F101" s="35">
        <f>SUMIFS('Diário de estudo'!I3:I530,'Diário de estudo'!D3:D530,"SEGURANÇA DA INFORMAÇÃO",'Diário de estudo'!F3:F530,A101)</f>
        <v/>
      </c>
      <c r="G101" s="36">
        <f>IFERROR(F101/E101,"")</f>
        <v/>
      </c>
      <c r="H101" s="54" t="n"/>
      <c r="I101" s="54" t="n"/>
      <c r="J101" s="54" t="n"/>
      <c r="K101" s="38" t="n"/>
      <c r="L101" s="35">
        <f>IF(COUNTIFS('Diário de estudo'!$D$3:$D$530,"SEGURANÇA DA INFORMAÇÃO",'Diário de estudo'!$F$3:$F$530,A101,'Diário de estudo'!$J$3:$J$530,"CONCLUÍDO")&gt;0,"✔ SIM","—")</f>
        <v/>
      </c>
    </row>
    <row r="102">
      <c r="A102" s="34" t="inlineStr">
        <is>
          <t>SSO (Single Sign-On) e Autenticação Multifator (MFA)</t>
        </is>
      </c>
      <c r="B102" s="35" t="inlineStr">
        <is>
          <t>NÃO</t>
        </is>
      </c>
      <c r="C102" s="35" t="inlineStr">
        <is>
          <t>NÃO</t>
        </is>
      </c>
      <c r="D102" s="35" t="inlineStr">
        <is>
          <t>NÃO</t>
        </is>
      </c>
      <c r="E102" s="35">
        <f>SUMIFS('Diário de estudo'!H3:H530,'Diário de estudo'!D3:D530,"SEGURANÇA DA INFORMAÇÃO",'Diário de estudo'!F3:F530,A102)</f>
        <v/>
      </c>
      <c r="F102" s="35">
        <f>SUMIFS('Diário de estudo'!I3:I530,'Diário de estudo'!D3:D530,"SEGURANÇA DA INFORMAÇÃO",'Diário de estudo'!F3:F530,A102)</f>
        <v/>
      </c>
      <c r="G102" s="36">
        <f>IFERROR(F102/E102,"")</f>
        <v/>
      </c>
      <c r="H102" s="54" t="n"/>
      <c r="I102" s="54" t="n"/>
      <c r="J102" s="54" t="n"/>
      <c r="K102" s="38" t="n"/>
      <c r="L102" s="35">
        <f>IF(COUNTIFS('Diário de estudo'!$D$3:$D$530,"SEGURANÇA DA INFORMAÇÃO",'Diário de estudo'!$F$3:$F$530,A102,'Diário de estudo'!$J$3:$J$530,"CONCLUÍDO")&gt;0,"✔ SIM","—")</f>
        <v/>
      </c>
    </row>
    <row r="103">
      <c r="A103" s="34" t="inlineStr">
        <is>
          <t>Gestão de identidade e acesso (autenticação, autorização, auditoria)</t>
        </is>
      </c>
      <c r="B103" s="35" t="inlineStr">
        <is>
          <t>NÃO</t>
        </is>
      </c>
      <c r="C103" s="35" t="inlineStr">
        <is>
          <t>NÃO</t>
        </is>
      </c>
      <c r="D103" s="35" t="inlineStr">
        <is>
          <t>NÃO</t>
        </is>
      </c>
      <c r="E103" s="35">
        <f>SUMIFS('Diário de estudo'!H3:H530,'Diário de estudo'!D3:D530,"SEGURANÇA DA INFORMAÇÃO",'Diário de estudo'!F3:F530,A103)</f>
        <v/>
      </c>
      <c r="F103" s="35">
        <f>SUMIFS('Diário de estudo'!I3:I530,'Diário de estudo'!D3:D530,"SEGURANÇA DA INFORMAÇÃO",'Diário de estudo'!F3:F530,A103)</f>
        <v/>
      </c>
      <c r="G103" s="36">
        <f>IFERROR(F103/E103,"")</f>
        <v/>
      </c>
      <c r="H103" s="54" t="n"/>
      <c r="I103" s="54" t="n"/>
      <c r="J103" s="54" t="n"/>
      <c r="K103" s="38" t="n"/>
      <c r="L103" s="35">
        <f>IF(COUNTIFS('Diário de estudo'!$D$3:$D$530,"SEGURANÇA DA INFORMAÇÃO",'Diário de estudo'!$F$3:$F$530,A103,'Diário de estudo'!$J$3:$J$530,"CONCLUÍDO")&gt;0,"✔ SIM","—")</f>
        <v/>
      </c>
    </row>
  </sheetData>
  <mergeCells count="13">
    <mergeCell ref="A89"/>
    <mergeCell ref="A6"/>
    <mergeCell ref="A26"/>
    <mergeCell ref="A15"/>
    <mergeCell ref="A64"/>
    <mergeCell ref="A2:K2"/>
    <mergeCell ref="A73"/>
    <mergeCell ref="A54"/>
    <mergeCell ref="A81"/>
    <mergeCell ref="A99"/>
    <mergeCell ref="A1:K1"/>
    <mergeCell ref="A45"/>
    <mergeCell ref="A37"/>
  </mergeCells>
  <conditionalFormatting sqref="B6:D105">
    <cfRule type="cellIs" priority="1" operator="equal" dxfId="0">
      <formula>"SIM"</formula>
    </cfRule>
    <cfRule type="cellIs" priority="2" operator="equal" dxfId="1">
      <formula>"NÃO"</formula>
    </cfRule>
    <cfRule type="cellIs" priority="3" operator="equal" dxfId="2">
      <formula>"ATENÇÃO"</formula>
    </cfRule>
    <cfRule type="cellIs" priority="4" operator="equal" dxfId="3">
      <formula>"PRECISO ESTUDAR"</formula>
    </cfRule>
    <cfRule type="cellIs" priority="5" operator="equal" dxfId="4">
      <formula>"DOMINO"</formula>
    </cfRule>
    <cfRule type="cellIs" priority="6" operator="equal" dxfId="5">
      <formula>"CAIU NA ÚLTIMA PROVA"</formula>
    </cfRule>
  </conditionalFormatting>
  <conditionalFormatting sqref="G6:G105">
    <cfRule type="cellIs" priority="7" operator="greaterThanOrEqual" dxfId="0">
      <formula>0.7</formula>
    </cfRule>
    <cfRule type="cellIs" priority="8" operator="lessThan" dxfId="1">
      <formula>0.5</formula>
    </cfRule>
  </conditionalFormatting>
  <conditionalFormatting sqref="L6:L108">
    <cfRule type="cellIs" priority="9" operator="equal" dxfId="0">
      <formula>"✔ SIM"</formula>
    </cfRule>
  </conditionalFormatting>
  <dataValidations count="1">
    <dataValidation sqref="B8 B9 B10 B11 B12 B13 B17 B18 B19 B20 B21 B22 B23 B24 B28 B29 B30 B31 B32 B33 B34 B35 B39 B40 B41 B42 B43 B47 B48 B49 B50 B51 B52 B56 B57 B58 B59 B60 B61 B62 B66 B67 B68 B69 B70 B71 B75 B76 B77 B78 B79 B83 B84 B85 B86 B87 B91 B92 B93 B94 B95 B96 B97 B101 B102 B103 C8 C9 C10 C11 C12 C13 C17 C18 C19 C20 C21 C22 C23 C24 C28 C29 C30 C31 C32 C33 C34 C35 C39 C40 C41 C42 C43 C47 C48 C49 C50 C51 C52 C56 C57 C58 C59 C60 C61 C62 C66 C67 C68 C69 C70 C71 C75 C76 C77 C78 C79 C83 C84 C85 C86 C87 C91 C92 C93 C94 C95 C96 C97 C101 C102 C103 D8 D9 D10 D11 D12 D13 D17 D18 D19 D20 D21 D22 D23 D24 D28 D29 D30 D31 D32 D33 D34 D35 D39 D40 D41 D42 D43 D47 D48 D49 D50 D51 D52 D56 D57 D58 D59 D60 D61 D62 D66 D67 D68 D69 D70 D71 D75 D76 D77 D78 D79 D83 D84 D85 D86 D87 D91 D92 D93 D94 D95 D96 D97 D101 D102 D103" showDropDown="0" showInputMessage="0" showErrorMessage="0" allowBlank="1" type="list">
      <formula1>"SIM,NÃO,ATENÇÃO,PRECISO ESTUDAR,DOMINO,CAIU NA ÚLTIMA PROVA"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s>
  <sheetData>
    <row r="1" ht="24" customHeight="1">
      <c r="A1" s="1" t="inlineStr">
        <is>
          <t>CONTROLE DE QUESTÕES POR SEMANA — somado automaticamente do Diário de estudo</t>
        </is>
      </c>
    </row>
    <row r="2">
      <c r="A2" s="2" t="inlineStr">
        <is>
          <t>MATÉRIA</t>
        </is>
      </c>
      <c r="B2" s="39" t="inlineStr">
        <is>
          <t>SEMANA 1
14/09</t>
        </is>
      </c>
      <c r="E2" s="39" t="inlineStr">
        <is>
          <t>SEMANA 2
21/09</t>
        </is>
      </c>
      <c r="H2" s="39" t="inlineStr">
        <is>
          <t>SEMANA 3
28/09</t>
        </is>
      </c>
      <c r="K2" s="39" t="inlineStr">
        <is>
          <t>SEMANA 4
05/10</t>
        </is>
      </c>
      <c r="N2" s="39" t="inlineStr">
        <is>
          <t>SEMANA 5
12/10</t>
        </is>
      </c>
      <c r="Q2" s="39" t="inlineStr">
        <is>
          <t>SEMANA 6
19/10</t>
        </is>
      </c>
      <c r="T2" s="39" t="inlineStr">
        <is>
          <t>SEMANA 7
26/10</t>
        </is>
      </c>
      <c r="W2" s="39" t="inlineStr">
        <is>
          <t>SEMANA 8
02/11</t>
        </is>
      </c>
      <c r="Z2" s="39" t="inlineStr">
        <is>
          <t>SEMANA 9
09/11</t>
        </is>
      </c>
      <c r="AC2" s="39" t="inlineStr">
        <is>
          <t>SEMANA 10
16/11</t>
        </is>
      </c>
      <c r="AF2" s="39" t="inlineStr">
        <is>
          <t>SEMANA 11
23/11</t>
        </is>
      </c>
      <c r="AI2" s="39" t="inlineStr">
        <is>
          <t>SEMANA 12
30/11</t>
        </is>
      </c>
      <c r="AL2" s="39" t="inlineStr">
        <is>
          <t>SEMANA 13
07/12</t>
        </is>
      </c>
      <c r="AO2" s="39" t="inlineStr">
        <is>
          <t>SEMANA 14
14/12</t>
        </is>
      </c>
      <c r="AR2" s="39" t="inlineStr">
        <is>
          <t>SEMANA 15
21/12</t>
        </is>
      </c>
      <c r="AU2" s="39" t="inlineStr">
        <is>
          <t>SEMANA 16
28/12</t>
        </is>
      </c>
    </row>
    <row r="3">
      <c r="A3" s="55" t="n"/>
      <c r="B3" s="40" t="inlineStr">
        <is>
          <t>Nº QUESTÕES</t>
        </is>
      </c>
      <c r="C3" s="40" t="inlineStr">
        <is>
          <t>ACERTOS</t>
        </is>
      </c>
      <c r="D3" s="40" t="inlineStr">
        <is>
          <t>DESEMP. %</t>
        </is>
      </c>
      <c r="E3" s="40" t="inlineStr">
        <is>
          <t>Nº QUESTÕES</t>
        </is>
      </c>
      <c r="F3" s="40" t="inlineStr">
        <is>
          <t>ACERTOS</t>
        </is>
      </c>
      <c r="G3" s="40" t="inlineStr">
        <is>
          <t>DESEMP. %</t>
        </is>
      </c>
      <c r="H3" s="40" t="inlineStr">
        <is>
          <t>Nº QUESTÕES</t>
        </is>
      </c>
      <c r="I3" s="40" t="inlineStr">
        <is>
          <t>ACERTOS</t>
        </is>
      </c>
      <c r="J3" s="40" t="inlineStr">
        <is>
          <t>DESEMP. %</t>
        </is>
      </c>
      <c r="K3" s="40" t="inlineStr">
        <is>
          <t>Nº QUESTÕES</t>
        </is>
      </c>
      <c r="L3" s="40" t="inlineStr">
        <is>
          <t>ACERTOS</t>
        </is>
      </c>
      <c r="M3" s="40" t="inlineStr">
        <is>
          <t>DESEMP. %</t>
        </is>
      </c>
      <c r="N3" s="40" t="inlineStr">
        <is>
          <t>Nº QUESTÕES</t>
        </is>
      </c>
      <c r="O3" s="40" t="inlineStr">
        <is>
          <t>ACERTOS</t>
        </is>
      </c>
      <c r="P3" s="40" t="inlineStr">
        <is>
          <t>DESEMP. %</t>
        </is>
      </c>
      <c r="Q3" s="40" t="inlineStr">
        <is>
          <t>Nº QUESTÕES</t>
        </is>
      </c>
      <c r="R3" s="40" t="inlineStr">
        <is>
          <t>ACERTOS</t>
        </is>
      </c>
      <c r="S3" s="40" t="inlineStr">
        <is>
          <t>DESEMP. %</t>
        </is>
      </c>
      <c r="T3" s="40" t="inlineStr">
        <is>
          <t>Nº QUESTÕES</t>
        </is>
      </c>
      <c r="U3" s="40" t="inlineStr">
        <is>
          <t>ACERTOS</t>
        </is>
      </c>
      <c r="V3" s="40" t="inlineStr">
        <is>
          <t>DESEMP. %</t>
        </is>
      </c>
      <c r="W3" s="40" t="inlineStr">
        <is>
          <t>Nº QUESTÕES</t>
        </is>
      </c>
      <c r="X3" s="40" t="inlineStr">
        <is>
          <t>ACERTOS</t>
        </is>
      </c>
      <c r="Y3" s="40" t="inlineStr">
        <is>
          <t>DESEMP. %</t>
        </is>
      </c>
      <c r="Z3" s="40" t="inlineStr">
        <is>
          <t>Nº QUESTÕES</t>
        </is>
      </c>
      <c r="AA3" s="40" t="inlineStr">
        <is>
          <t>ACERTOS</t>
        </is>
      </c>
      <c r="AB3" s="40" t="inlineStr">
        <is>
          <t>DESEMP. %</t>
        </is>
      </c>
      <c r="AC3" s="40" t="inlineStr">
        <is>
          <t>Nº QUESTÕES</t>
        </is>
      </c>
      <c r="AD3" s="40" t="inlineStr">
        <is>
          <t>ACERTOS</t>
        </is>
      </c>
      <c r="AE3" s="40" t="inlineStr">
        <is>
          <t>DESEMP. %</t>
        </is>
      </c>
      <c r="AF3" s="40" t="inlineStr">
        <is>
          <t>Nº QUESTÕES</t>
        </is>
      </c>
      <c r="AG3" s="40" t="inlineStr">
        <is>
          <t>ACERTOS</t>
        </is>
      </c>
      <c r="AH3" s="40" t="inlineStr">
        <is>
          <t>DESEMP. %</t>
        </is>
      </c>
      <c r="AI3" s="40" t="inlineStr">
        <is>
          <t>Nº QUESTÕES</t>
        </is>
      </c>
      <c r="AJ3" s="40" t="inlineStr">
        <is>
          <t>ACERTOS</t>
        </is>
      </c>
      <c r="AK3" s="40" t="inlineStr">
        <is>
          <t>DESEMP. %</t>
        </is>
      </c>
      <c r="AL3" s="40" t="inlineStr">
        <is>
          <t>Nº QUESTÕES</t>
        </is>
      </c>
      <c r="AM3" s="40" t="inlineStr">
        <is>
          <t>ACERTOS</t>
        </is>
      </c>
      <c r="AN3" s="40" t="inlineStr">
        <is>
          <t>DESEMP. %</t>
        </is>
      </c>
      <c r="AO3" s="40" t="inlineStr">
        <is>
          <t>Nº QUESTÕES</t>
        </is>
      </c>
      <c r="AP3" s="40" t="inlineStr">
        <is>
          <t>ACERTOS</t>
        </is>
      </c>
      <c r="AQ3" s="40" t="inlineStr">
        <is>
          <t>DESEMP. %</t>
        </is>
      </c>
      <c r="AR3" s="40" t="inlineStr">
        <is>
          <t>Nº QUESTÕES</t>
        </is>
      </c>
      <c r="AS3" s="40" t="inlineStr">
        <is>
          <t>ACERTOS</t>
        </is>
      </c>
      <c r="AT3" s="40" t="inlineStr">
        <is>
          <t>DESEMP. %</t>
        </is>
      </c>
      <c r="AU3" s="40" t="inlineStr">
        <is>
          <t>Nº QUESTÕES</t>
        </is>
      </c>
      <c r="AV3" s="40" t="inlineStr">
        <is>
          <t>ACERTOS</t>
        </is>
      </c>
      <c r="AW3" s="40" t="inlineStr">
        <is>
          <t>DESEMP. %</t>
        </is>
      </c>
    </row>
    <row r="4">
      <c r="A4" s="41" t="inlineStr">
        <is>
          <t>LÍNGUA PORTUGUESA</t>
        </is>
      </c>
      <c r="B4" s="35">
        <f>SUMIFS('Diário de estudo'!H3:H530,'Diário de estudo'!D3:D530,$A4,'Diário de estudo'!A3:A530,"&gt;="&amp;DATE(2026,9,14),'Diário de estudo'!A3:A530,"&lt;="&amp;DATE(2026,9,20))</f>
        <v/>
      </c>
      <c r="C4" s="35">
        <f>SUMIFS('Diário de estudo'!I3:I530,'Diário de estudo'!D3:D530,$A4,'Diário de estudo'!A3:A530,"&gt;="&amp;DATE(2026,9,14),'Diário de estudo'!A3:A530,"&lt;="&amp;DATE(2026,9,20))</f>
        <v/>
      </c>
      <c r="D4" s="36">
        <f>IFERROR(C4/B4,"")</f>
        <v/>
      </c>
      <c r="E4" s="35">
        <f>SUMIFS('Diário de estudo'!H3:H530,'Diário de estudo'!D3:D530,$A4,'Diário de estudo'!A3:A530,"&gt;="&amp;DATE(2026,9,21),'Diário de estudo'!A3:A530,"&lt;="&amp;DATE(2026,9,27))</f>
        <v/>
      </c>
      <c r="F4" s="35">
        <f>SUMIFS('Diário de estudo'!I3:I530,'Diário de estudo'!D3:D530,$A4,'Diário de estudo'!A3:A530,"&gt;="&amp;DATE(2026,9,21),'Diário de estudo'!A3:A530,"&lt;="&amp;DATE(2026,9,27))</f>
        <v/>
      </c>
      <c r="G4" s="36">
        <f>IFERROR(F4/E4,"")</f>
        <v/>
      </c>
      <c r="H4" s="35">
        <f>SUMIFS('Diário de estudo'!H3:H530,'Diário de estudo'!D3:D530,$A4,'Diário de estudo'!A3:A530,"&gt;="&amp;DATE(2026,9,28),'Diário de estudo'!A3:A530,"&lt;="&amp;DATE(2026,10,4))</f>
        <v/>
      </c>
      <c r="I4" s="35">
        <f>SUMIFS('Diário de estudo'!I3:I530,'Diário de estudo'!D3:D530,$A4,'Diário de estudo'!A3:A530,"&gt;="&amp;DATE(2026,9,28),'Diário de estudo'!A3:A530,"&lt;="&amp;DATE(2026,10,4))</f>
        <v/>
      </c>
      <c r="J4" s="36">
        <f>IFERROR(I4/H4,"")</f>
        <v/>
      </c>
      <c r="K4" s="35">
        <f>SUMIFS('Diário de estudo'!H3:H530,'Diário de estudo'!D3:D530,$A4,'Diário de estudo'!A3:A530,"&gt;="&amp;DATE(2026,10,5),'Diário de estudo'!A3:A530,"&lt;="&amp;DATE(2026,10,11))</f>
        <v/>
      </c>
      <c r="L4" s="35">
        <f>SUMIFS('Diário de estudo'!I3:I530,'Diário de estudo'!D3:D530,$A4,'Diário de estudo'!A3:A530,"&gt;="&amp;DATE(2026,10,5),'Diário de estudo'!A3:A530,"&lt;="&amp;DATE(2026,10,11))</f>
        <v/>
      </c>
      <c r="M4" s="36">
        <f>IFERROR(L4/K4,"")</f>
        <v/>
      </c>
      <c r="N4" s="35">
        <f>SUMIFS('Diário de estudo'!H3:H530,'Diário de estudo'!D3:D530,$A4,'Diário de estudo'!A3:A530,"&gt;="&amp;DATE(2026,10,12),'Diário de estudo'!A3:A530,"&lt;="&amp;DATE(2026,10,18))</f>
        <v/>
      </c>
      <c r="O4" s="35">
        <f>SUMIFS('Diário de estudo'!I3:I530,'Diário de estudo'!D3:D530,$A4,'Diário de estudo'!A3:A530,"&gt;="&amp;DATE(2026,10,12),'Diário de estudo'!A3:A530,"&lt;="&amp;DATE(2026,10,18))</f>
        <v/>
      </c>
      <c r="P4" s="36">
        <f>IFERROR(O4/N4,"")</f>
        <v/>
      </c>
      <c r="Q4" s="35">
        <f>SUMIFS('Diário de estudo'!H3:H530,'Diário de estudo'!D3:D530,$A4,'Diário de estudo'!A3:A530,"&gt;="&amp;DATE(2026,10,19),'Diário de estudo'!A3:A530,"&lt;="&amp;DATE(2026,10,25))</f>
        <v/>
      </c>
      <c r="R4" s="35">
        <f>SUMIFS('Diário de estudo'!I3:I530,'Diário de estudo'!D3:D530,$A4,'Diário de estudo'!A3:A530,"&gt;="&amp;DATE(2026,10,19),'Diário de estudo'!A3:A530,"&lt;="&amp;DATE(2026,10,25))</f>
        <v/>
      </c>
      <c r="S4" s="36">
        <f>IFERROR(R4/Q4,"")</f>
        <v/>
      </c>
      <c r="T4" s="35">
        <f>SUMIFS('Diário de estudo'!H3:H530,'Diário de estudo'!D3:D530,$A4,'Diário de estudo'!A3:A530,"&gt;="&amp;DATE(2026,10,26),'Diário de estudo'!A3:A530,"&lt;="&amp;DATE(2026,11,1))</f>
        <v/>
      </c>
      <c r="U4" s="35">
        <f>SUMIFS('Diário de estudo'!I3:I530,'Diário de estudo'!D3:D530,$A4,'Diário de estudo'!A3:A530,"&gt;="&amp;DATE(2026,10,26),'Diário de estudo'!A3:A530,"&lt;="&amp;DATE(2026,11,1))</f>
        <v/>
      </c>
      <c r="V4" s="36">
        <f>IFERROR(U4/T4,"")</f>
        <v/>
      </c>
      <c r="W4" s="35">
        <f>SUMIFS('Diário de estudo'!H3:H530,'Diário de estudo'!D3:D530,$A4,'Diário de estudo'!A3:A530,"&gt;="&amp;DATE(2026,11,2),'Diário de estudo'!A3:A530,"&lt;="&amp;DATE(2026,11,8))</f>
        <v/>
      </c>
      <c r="X4" s="35">
        <f>SUMIFS('Diário de estudo'!I3:I530,'Diário de estudo'!D3:D530,$A4,'Diário de estudo'!A3:A530,"&gt;="&amp;DATE(2026,11,2),'Diário de estudo'!A3:A530,"&lt;="&amp;DATE(2026,11,8))</f>
        <v/>
      </c>
      <c r="Y4" s="36">
        <f>IFERROR(X4/W4,"")</f>
        <v/>
      </c>
      <c r="Z4" s="35">
        <f>SUMIFS('Diário de estudo'!H3:H530,'Diário de estudo'!D3:D530,$A4,'Diário de estudo'!A3:A530,"&gt;="&amp;DATE(2026,11,9),'Diário de estudo'!A3:A530,"&lt;="&amp;DATE(2026,11,15))</f>
        <v/>
      </c>
      <c r="AA4" s="35">
        <f>SUMIFS('Diário de estudo'!I3:I530,'Diário de estudo'!D3:D530,$A4,'Diário de estudo'!A3:A530,"&gt;="&amp;DATE(2026,11,9),'Diário de estudo'!A3:A530,"&lt;="&amp;DATE(2026,11,15))</f>
        <v/>
      </c>
      <c r="AB4" s="36">
        <f>IFERROR(AA4/Z4,"")</f>
        <v/>
      </c>
      <c r="AC4" s="35">
        <f>SUMIFS('Diário de estudo'!H3:H530,'Diário de estudo'!D3:D530,$A4,'Diário de estudo'!A3:A530,"&gt;="&amp;DATE(2026,11,16),'Diário de estudo'!A3:A530,"&lt;="&amp;DATE(2026,11,22))</f>
        <v/>
      </c>
      <c r="AD4" s="35">
        <f>SUMIFS('Diário de estudo'!I3:I530,'Diário de estudo'!D3:D530,$A4,'Diário de estudo'!A3:A530,"&gt;="&amp;DATE(2026,11,16),'Diário de estudo'!A3:A530,"&lt;="&amp;DATE(2026,11,22))</f>
        <v/>
      </c>
      <c r="AE4" s="36">
        <f>IFERROR(AD4/AC4,"")</f>
        <v/>
      </c>
      <c r="AF4" s="35">
        <f>SUMIFS('Diário de estudo'!H3:H530,'Diário de estudo'!D3:D530,$A4,'Diário de estudo'!A3:A530,"&gt;="&amp;DATE(2026,11,23),'Diário de estudo'!A3:A530,"&lt;="&amp;DATE(2026,11,29))</f>
        <v/>
      </c>
      <c r="AG4" s="35">
        <f>SUMIFS('Diário de estudo'!I3:I530,'Diário de estudo'!D3:D530,$A4,'Diário de estudo'!A3:A530,"&gt;="&amp;DATE(2026,11,23),'Diário de estudo'!A3:A530,"&lt;="&amp;DATE(2026,11,29))</f>
        <v/>
      </c>
      <c r="AH4" s="36">
        <f>IFERROR(AG4/AF4,"")</f>
        <v/>
      </c>
      <c r="AI4" s="35">
        <f>SUMIFS('Diário de estudo'!H3:H530,'Diário de estudo'!D3:D530,$A4,'Diário de estudo'!A3:A530,"&gt;="&amp;DATE(2026,11,30),'Diário de estudo'!A3:A530,"&lt;="&amp;DATE(2026,12,6))</f>
        <v/>
      </c>
      <c r="AJ4" s="35">
        <f>SUMIFS('Diário de estudo'!I3:I530,'Diário de estudo'!D3:D530,$A4,'Diário de estudo'!A3:A530,"&gt;="&amp;DATE(2026,11,30),'Diário de estudo'!A3:A530,"&lt;="&amp;DATE(2026,12,6))</f>
        <v/>
      </c>
      <c r="AK4" s="36">
        <f>IFERROR(AJ4/AI4,"")</f>
        <v/>
      </c>
      <c r="AL4" s="35">
        <f>SUMIFS('Diário de estudo'!H3:H530,'Diário de estudo'!D3:D530,$A4,'Diário de estudo'!A3:A530,"&gt;="&amp;DATE(2026,12,7),'Diário de estudo'!A3:A530,"&lt;="&amp;DATE(2026,12,13))</f>
        <v/>
      </c>
      <c r="AM4" s="35">
        <f>SUMIFS('Diário de estudo'!I3:I530,'Diário de estudo'!D3:D530,$A4,'Diário de estudo'!A3:A530,"&gt;="&amp;DATE(2026,12,7),'Diário de estudo'!A3:A530,"&lt;="&amp;DATE(2026,12,13))</f>
        <v/>
      </c>
      <c r="AN4" s="36">
        <f>IFERROR(AM4/AL4,"")</f>
        <v/>
      </c>
      <c r="AO4" s="35">
        <f>SUMIFS('Diário de estudo'!H3:H530,'Diário de estudo'!D3:D530,$A4,'Diário de estudo'!A3:A530,"&gt;="&amp;DATE(2026,12,14),'Diário de estudo'!A3:A530,"&lt;="&amp;DATE(2026,12,20))</f>
        <v/>
      </c>
      <c r="AP4" s="35">
        <f>SUMIFS('Diário de estudo'!I3:I530,'Diário de estudo'!D3:D530,$A4,'Diário de estudo'!A3:A530,"&gt;="&amp;DATE(2026,12,14),'Diário de estudo'!A3:A530,"&lt;="&amp;DATE(2026,12,20))</f>
        <v/>
      </c>
      <c r="AQ4" s="36">
        <f>IFERROR(AP4/AO4,"")</f>
        <v/>
      </c>
      <c r="AR4" s="35">
        <f>SUMIFS('Diário de estudo'!H3:H530,'Diário de estudo'!D3:D530,$A4,'Diário de estudo'!A3:A530,"&gt;="&amp;DATE(2026,12,21),'Diário de estudo'!A3:A530,"&lt;="&amp;DATE(2026,12,27))</f>
        <v/>
      </c>
      <c r="AS4" s="35">
        <f>SUMIFS('Diário de estudo'!I3:I530,'Diário de estudo'!D3:D530,$A4,'Diário de estudo'!A3:A530,"&gt;="&amp;DATE(2026,12,21),'Diário de estudo'!A3:A530,"&lt;="&amp;DATE(2026,12,27))</f>
        <v/>
      </c>
      <c r="AT4" s="36">
        <f>IFERROR(AS4/AR4,"")</f>
        <v/>
      </c>
      <c r="AU4" s="35">
        <f>SUMIFS('Diário de estudo'!H3:H530,'Diário de estudo'!D3:D530,$A4,'Diário de estudo'!A3:A530,"&gt;="&amp;DATE(2026,12,28),'Diário de estudo'!A3:A530,"&lt;="&amp;DATE(2027,1,3))</f>
        <v/>
      </c>
      <c r="AV4" s="35">
        <f>SUMIFS('Diário de estudo'!I3:I530,'Diário de estudo'!D3:D530,$A4,'Diário de estudo'!A3:A530,"&gt;="&amp;DATE(2026,12,28),'Diário de estudo'!A3:A530,"&lt;="&amp;DATE(2027,1,3))</f>
        <v/>
      </c>
      <c r="AW4" s="36">
        <f>IFERROR(AV4/AU4,"")</f>
        <v/>
      </c>
    </row>
    <row r="5">
      <c r="A5" s="41" t="inlineStr">
        <is>
          <t>DIREITO CONSTITUCIONAL</t>
        </is>
      </c>
      <c r="B5" s="35">
        <f>SUMIFS('Diário de estudo'!H3:H530,'Diário de estudo'!D3:D530,$A5,'Diário de estudo'!A3:A530,"&gt;="&amp;DATE(2026,9,14),'Diário de estudo'!A3:A530,"&lt;="&amp;DATE(2026,9,20))</f>
        <v/>
      </c>
      <c r="C5" s="35">
        <f>SUMIFS('Diário de estudo'!I3:I530,'Diário de estudo'!D3:D530,$A5,'Diário de estudo'!A3:A530,"&gt;="&amp;DATE(2026,9,14),'Diário de estudo'!A3:A530,"&lt;="&amp;DATE(2026,9,20))</f>
        <v/>
      </c>
      <c r="D5" s="36">
        <f>IFERROR(C5/B5,"")</f>
        <v/>
      </c>
      <c r="E5" s="35">
        <f>SUMIFS('Diário de estudo'!H3:H530,'Diário de estudo'!D3:D530,$A5,'Diário de estudo'!A3:A530,"&gt;="&amp;DATE(2026,9,21),'Diário de estudo'!A3:A530,"&lt;="&amp;DATE(2026,9,27))</f>
        <v/>
      </c>
      <c r="F5" s="35">
        <f>SUMIFS('Diário de estudo'!I3:I530,'Diário de estudo'!D3:D530,$A5,'Diário de estudo'!A3:A530,"&gt;="&amp;DATE(2026,9,21),'Diário de estudo'!A3:A530,"&lt;="&amp;DATE(2026,9,27))</f>
        <v/>
      </c>
      <c r="G5" s="36">
        <f>IFERROR(F5/E5,"")</f>
        <v/>
      </c>
      <c r="H5" s="35">
        <f>SUMIFS('Diário de estudo'!H3:H530,'Diário de estudo'!D3:D530,$A5,'Diário de estudo'!A3:A530,"&gt;="&amp;DATE(2026,9,28),'Diário de estudo'!A3:A530,"&lt;="&amp;DATE(2026,10,4))</f>
        <v/>
      </c>
      <c r="I5" s="35">
        <f>SUMIFS('Diário de estudo'!I3:I530,'Diário de estudo'!D3:D530,$A5,'Diário de estudo'!A3:A530,"&gt;="&amp;DATE(2026,9,28),'Diário de estudo'!A3:A530,"&lt;="&amp;DATE(2026,10,4))</f>
        <v/>
      </c>
      <c r="J5" s="36">
        <f>IFERROR(I5/H5,"")</f>
        <v/>
      </c>
      <c r="K5" s="35">
        <f>SUMIFS('Diário de estudo'!H3:H530,'Diário de estudo'!D3:D530,$A5,'Diário de estudo'!A3:A530,"&gt;="&amp;DATE(2026,10,5),'Diário de estudo'!A3:A530,"&lt;="&amp;DATE(2026,10,11))</f>
        <v/>
      </c>
      <c r="L5" s="35">
        <f>SUMIFS('Diário de estudo'!I3:I530,'Diário de estudo'!D3:D530,$A5,'Diário de estudo'!A3:A530,"&gt;="&amp;DATE(2026,10,5),'Diário de estudo'!A3:A530,"&lt;="&amp;DATE(2026,10,11))</f>
        <v/>
      </c>
      <c r="M5" s="36">
        <f>IFERROR(L5/K5,"")</f>
        <v/>
      </c>
      <c r="N5" s="35">
        <f>SUMIFS('Diário de estudo'!H3:H530,'Diário de estudo'!D3:D530,$A5,'Diário de estudo'!A3:A530,"&gt;="&amp;DATE(2026,10,12),'Diário de estudo'!A3:A530,"&lt;="&amp;DATE(2026,10,18))</f>
        <v/>
      </c>
      <c r="O5" s="35">
        <f>SUMIFS('Diário de estudo'!I3:I530,'Diário de estudo'!D3:D530,$A5,'Diário de estudo'!A3:A530,"&gt;="&amp;DATE(2026,10,12),'Diário de estudo'!A3:A530,"&lt;="&amp;DATE(2026,10,18))</f>
        <v/>
      </c>
      <c r="P5" s="36">
        <f>IFERROR(O5/N5,"")</f>
        <v/>
      </c>
      <c r="Q5" s="35">
        <f>SUMIFS('Diário de estudo'!H3:H530,'Diário de estudo'!D3:D530,$A5,'Diário de estudo'!A3:A530,"&gt;="&amp;DATE(2026,10,19),'Diário de estudo'!A3:A530,"&lt;="&amp;DATE(2026,10,25))</f>
        <v/>
      </c>
      <c r="R5" s="35">
        <f>SUMIFS('Diário de estudo'!I3:I530,'Diário de estudo'!D3:D530,$A5,'Diário de estudo'!A3:A530,"&gt;="&amp;DATE(2026,10,19),'Diário de estudo'!A3:A530,"&lt;="&amp;DATE(2026,10,25))</f>
        <v/>
      </c>
      <c r="S5" s="36">
        <f>IFERROR(R5/Q5,"")</f>
        <v/>
      </c>
      <c r="T5" s="35">
        <f>SUMIFS('Diário de estudo'!H3:H530,'Diário de estudo'!D3:D530,$A5,'Diário de estudo'!A3:A530,"&gt;="&amp;DATE(2026,10,26),'Diário de estudo'!A3:A530,"&lt;="&amp;DATE(2026,11,1))</f>
        <v/>
      </c>
      <c r="U5" s="35">
        <f>SUMIFS('Diário de estudo'!I3:I530,'Diário de estudo'!D3:D530,$A5,'Diário de estudo'!A3:A530,"&gt;="&amp;DATE(2026,10,26),'Diário de estudo'!A3:A530,"&lt;="&amp;DATE(2026,11,1))</f>
        <v/>
      </c>
      <c r="V5" s="36">
        <f>IFERROR(U5/T5,"")</f>
        <v/>
      </c>
      <c r="W5" s="35">
        <f>SUMIFS('Diário de estudo'!H3:H530,'Diário de estudo'!D3:D530,$A5,'Diário de estudo'!A3:A530,"&gt;="&amp;DATE(2026,11,2),'Diário de estudo'!A3:A530,"&lt;="&amp;DATE(2026,11,8))</f>
        <v/>
      </c>
      <c r="X5" s="35">
        <f>SUMIFS('Diário de estudo'!I3:I530,'Diário de estudo'!D3:D530,$A5,'Diário de estudo'!A3:A530,"&gt;="&amp;DATE(2026,11,2),'Diário de estudo'!A3:A530,"&lt;="&amp;DATE(2026,11,8))</f>
        <v/>
      </c>
      <c r="Y5" s="36">
        <f>IFERROR(X5/W5,"")</f>
        <v/>
      </c>
      <c r="Z5" s="35">
        <f>SUMIFS('Diário de estudo'!H3:H530,'Diário de estudo'!D3:D530,$A5,'Diário de estudo'!A3:A530,"&gt;="&amp;DATE(2026,11,9),'Diário de estudo'!A3:A530,"&lt;="&amp;DATE(2026,11,15))</f>
        <v/>
      </c>
      <c r="AA5" s="35">
        <f>SUMIFS('Diário de estudo'!I3:I530,'Diário de estudo'!D3:D530,$A5,'Diário de estudo'!A3:A530,"&gt;="&amp;DATE(2026,11,9),'Diário de estudo'!A3:A530,"&lt;="&amp;DATE(2026,11,15))</f>
        <v/>
      </c>
      <c r="AB5" s="36">
        <f>IFERROR(AA5/Z5,"")</f>
        <v/>
      </c>
      <c r="AC5" s="35">
        <f>SUMIFS('Diário de estudo'!H3:H530,'Diário de estudo'!D3:D530,$A5,'Diário de estudo'!A3:A530,"&gt;="&amp;DATE(2026,11,16),'Diário de estudo'!A3:A530,"&lt;="&amp;DATE(2026,11,22))</f>
        <v/>
      </c>
      <c r="AD5" s="35">
        <f>SUMIFS('Diário de estudo'!I3:I530,'Diário de estudo'!D3:D530,$A5,'Diário de estudo'!A3:A530,"&gt;="&amp;DATE(2026,11,16),'Diário de estudo'!A3:A530,"&lt;="&amp;DATE(2026,11,22))</f>
        <v/>
      </c>
      <c r="AE5" s="36">
        <f>IFERROR(AD5/AC5,"")</f>
        <v/>
      </c>
      <c r="AF5" s="35">
        <f>SUMIFS('Diário de estudo'!H3:H530,'Diário de estudo'!D3:D530,$A5,'Diário de estudo'!A3:A530,"&gt;="&amp;DATE(2026,11,23),'Diário de estudo'!A3:A530,"&lt;="&amp;DATE(2026,11,29))</f>
        <v/>
      </c>
      <c r="AG5" s="35">
        <f>SUMIFS('Diário de estudo'!I3:I530,'Diário de estudo'!D3:D530,$A5,'Diário de estudo'!A3:A530,"&gt;="&amp;DATE(2026,11,23),'Diário de estudo'!A3:A530,"&lt;="&amp;DATE(2026,11,29))</f>
        <v/>
      </c>
      <c r="AH5" s="36">
        <f>IFERROR(AG5/AF5,"")</f>
        <v/>
      </c>
      <c r="AI5" s="35">
        <f>SUMIFS('Diário de estudo'!H3:H530,'Diário de estudo'!D3:D530,$A5,'Diário de estudo'!A3:A530,"&gt;="&amp;DATE(2026,11,30),'Diário de estudo'!A3:A530,"&lt;="&amp;DATE(2026,12,6))</f>
        <v/>
      </c>
      <c r="AJ5" s="35">
        <f>SUMIFS('Diário de estudo'!I3:I530,'Diário de estudo'!D3:D530,$A5,'Diário de estudo'!A3:A530,"&gt;="&amp;DATE(2026,11,30),'Diário de estudo'!A3:A530,"&lt;="&amp;DATE(2026,12,6))</f>
        <v/>
      </c>
      <c r="AK5" s="36">
        <f>IFERROR(AJ5/AI5,"")</f>
        <v/>
      </c>
      <c r="AL5" s="35">
        <f>SUMIFS('Diário de estudo'!H3:H530,'Diário de estudo'!D3:D530,$A5,'Diário de estudo'!A3:A530,"&gt;="&amp;DATE(2026,12,7),'Diário de estudo'!A3:A530,"&lt;="&amp;DATE(2026,12,13))</f>
        <v/>
      </c>
      <c r="AM5" s="35">
        <f>SUMIFS('Diário de estudo'!I3:I530,'Diário de estudo'!D3:D530,$A5,'Diário de estudo'!A3:A530,"&gt;="&amp;DATE(2026,12,7),'Diário de estudo'!A3:A530,"&lt;="&amp;DATE(2026,12,13))</f>
        <v/>
      </c>
      <c r="AN5" s="36">
        <f>IFERROR(AM5/AL5,"")</f>
        <v/>
      </c>
      <c r="AO5" s="35">
        <f>SUMIFS('Diário de estudo'!H3:H530,'Diário de estudo'!D3:D530,$A5,'Diário de estudo'!A3:A530,"&gt;="&amp;DATE(2026,12,14),'Diário de estudo'!A3:A530,"&lt;="&amp;DATE(2026,12,20))</f>
        <v/>
      </c>
      <c r="AP5" s="35">
        <f>SUMIFS('Diário de estudo'!I3:I530,'Diário de estudo'!D3:D530,$A5,'Diário de estudo'!A3:A530,"&gt;="&amp;DATE(2026,12,14),'Diário de estudo'!A3:A530,"&lt;="&amp;DATE(2026,12,20))</f>
        <v/>
      </c>
      <c r="AQ5" s="36">
        <f>IFERROR(AP5/AO5,"")</f>
        <v/>
      </c>
      <c r="AR5" s="35">
        <f>SUMIFS('Diário de estudo'!H3:H530,'Diário de estudo'!D3:D530,$A5,'Diário de estudo'!A3:A530,"&gt;="&amp;DATE(2026,12,21),'Diário de estudo'!A3:A530,"&lt;="&amp;DATE(2026,12,27))</f>
        <v/>
      </c>
      <c r="AS5" s="35">
        <f>SUMIFS('Diário de estudo'!I3:I530,'Diário de estudo'!D3:D530,$A5,'Diário de estudo'!A3:A530,"&gt;="&amp;DATE(2026,12,21),'Diário de estudo'!A3:A530,"&lt;="&amp;DATE(2026,12,27))</f>
        <v/>
      </c>
      <c r="AT5" s="36">
        <f>IFERROR(AS5/AR5,"")</f>
        <v/>
      </c>
      <c r="AU5" s="35">
        <f>SUMIFS('Diário de estudo'!H3:H530,'Diário de estudo'!D3:D530,$A5,'Diário de estudo'!A3:A530,"&gt;="&amp;DATE(2026,12,28),'Diário de estudo'!A3:A530,"&lt;="&amp;DATE(2027,1,3))</f>
        <v/>
      </c>
      <c r="AV5" s="35">
        <f>SUMIFS('Diário de estudo'!I3:I530,'Diário de estudo'!D3:D530,$A5,'Diário de estudo'!A3:A530,"&gt;="&amp;DATE(2026,12,28),'Diário de estudo'!A3:A530,"&lt;="&amp;DATE(2027,1,3))</f>
        <v/>
      </c>
      <c r="AW5" s="36">
        <f>IFERROR(AV5/AU5,"")</f>
        <v/>
      </c>
    </row>
    <row r="6">
      <c r="A6" s="41" t="inlineStr">
        <is>
          <t>DIREITO ADMINISTRATIVO</t>
        </is>
      </c>
      <c r="B6" s="35">
        <f>SUMIFS('Diário de estudo'!H3:H530,'Diário de estudo'!D3:D530,$A6,'Diário de estudo'!A3:A530,"&gt;="&amp;DATE(2026,9,14),'Diário de estudo'!A3:A530,"&lt;="&amp;DATE(2026,9,20))</f>
        <v/>
      </c>
      <c r="C6" s="35">
        <f>SUMIFS('Diário de estudo'!I3:I530,'Diário de estudo'!D3:D530,$A6,'Diário de estudo'!A3:A530,"&gt;="&amp;DATE(2026,9,14),'Diário de estudo'!A3:A530,"&lt;="&amp;DATE(2026,9,20))</f>
        <v/>
      </c>
      <c r="D6" s="36">
        <f>IFERROR(C6/B6,"")</f>
        <v/>
      </c>
      <c r="E6" s="35">
        <f>SUMIFS('Diário de estudo'!H3:H530,'Diário de estudo'!D3:D530,$A6,'Diário de estudo'!A3:A530,"&gt;="&amp;DATE(2026,9,21),'Diário de estudo'!A3:A530,"&lt;="&amp;DATE(2026,9,27))</f>
        <v/>
      </c>
      <c r="F6" s="35">
        <f>SUMIFS('Diário de estudo'!I3:I530,'Diário de estudo'!D3:D530,$A6,'Diário de estudo'!A3:A530,"&gt;="&amp;DATE(2026,9,21),'Diário de estudo'!A3:A530,"&lt;="&amp;DATE(2026,9,27))</f>
        <v/>
      </c>
      <c r="G6" s="36">
        <f>IFERROR(F6/E6,"")</f>
        <v/>
      </c>
      <c r="H6" s="35">
        <f>SUMIFS('Diário de estudo'!H3:H530,'Diário de estudo'!D3:D530,$A6,'Diário de estudo'!A3:A530,"&gt;="&amp;DATE(2026,9,28),'Diário de estudo'!A3:A530,"&lt;="&amp;DATE(2026,10,4))</f>
        <v/>
      </c>
      <c r="I6" s="35">
        <f>SUMIFS('Diário de estudo'!I3:I530,'Diário de estudo'!D3:D530,$A6,'Diário de estudo'!A3:A530,"&gt;="&amp;DATE(2026,9,28),'Diário de estudo'!A3:A530,"&lt;="&amp;DATE(2026,10,4))</f>
        <v/>
      </c>
      <c r="J6" s="36">
        <f>IFERROR(I6/H6,"")</f>
        <v/>
      </c>
      <c r="K6" s="35">
        <f>SUMIFS('Diário de estudo'!H3:H530,'Diário de estudo'!D3:D530,$A6,'Diário de estudo'!A3:A530,"&gt;="&amp;DATE(2026,10,5),'Diário de estudo'!A3:A530,"&lt;="&amp;DATE(2026,10,11))</f>
        <v/>
      </c>
      <c r="L6" s="35">
        <f>SUMIFS('Diário de estudo'!I3:I530,'Diário de estudo'!D3:D530,$A6,'Diário de estudo'!A3:A530,"&gt;="&amp;DATE(2026,10,5),'Diário de estudo'!A3:A530,"&lt;="&amp;DATE(2026,10,11))</f>
        <v/>
      </c>
      <c r="M6" s="36">
        <f>IFERROR(L6/K6,"")</f>
        <v/>
      </c>
      <c r="N6" s="35">
        <f>SUMIFS('Diário de estudo'!H3:H530,'Diário de estudo'!D3:D530,$A6,'Diário de estudo'!A3:A530,"&gt;="&amp;DATE(2026,10,12),'Diário de estudo'!A3:A530,"&lt;="&amp;DATE(2026,10,18))</f>
        <v/>
      </c>
      <c r="O6" s="35">
        <f>SUMIFS('Diário de estudo'!I3:I530,'Diário de estudo'!D3:D530,$A6,'Diário de estudo'!A3:A530,"&gt;="&amp;DATE(2026,10,12),'Diário de estudo'!A3:A530,"&lt;="&amp;DATE(2026,10,18))</f>
        <v/>
      </c>
      <c r="P6" s="36">
        <f>IFERROR(O6/N6,"")</f>
        <v/>
      </c>
      <c r="Q6" s="35">
        <f>SUMIFS('Diário de estudo'!H3:H530,'Diário de estudo'!D3:D530,$A6,'Diário de estudo'!A3:A530,"&gt;="&amp;DATE(2026,10,19),'Diário de estudo'!A3:A530,"&lt;="&amp;DATE(2026,10,25))</f>
        <v/>
      </c>
      <c r="R6" s="35">
        <f>SUMIFS('Diário de estudo'!I3:I530,'Diário de estudo'!D3:D530,$A6,'Diário de estudo'!A3:A530,"&gt;="&amp;DATE(2026,10,19),'Diário de estudo'!A3:A530,"&lt;="&amp;DATE(2026,10,25))</f>
        <v/>
      </c>
      <c r="S6" s="36">
        <f>IFERROR(R6/Q6,"")</f>
        <v/>
      </c>
      <c r="T6" s="35">
        <f>SUMIFS('Diário de estudo'!H3:H530,'Diário de estudo'!D3:D530,$A6,'Diário de estudo'!A3:A530,"&gt;="&amp;DATE(2026,10,26),'Diário de estudo'!A3:A530,"&lt;="&amp;DATE(2026,11,1))</f>
        <v/>
      </c>
      <c r="U6" s="35">
        <f>SUMIFS('Diário de estudo'!I3:I530,'Diário de estudo'!D3:D530,$A6,'Diário de estudo'!A3:A530,"&gt;="&amp;DATE(2026,10,26),'Diário de estudo'!A3:A530,"&lt;="&amp;DATE(2026,11,1))</f>
        <v/>
      </c>
      <c r="V6" s="36">
        <f>IFERROR(U6/T6,"")</f>
        <v/>
      </c>
      <c r="W6" s="35">
        <f>SUMIFS('Diário de estudo'!H3:H530,'Diário de estudo'!D3:D530,$A6,'Diário de estudo'!A3:A530,"&gt;="&amp;DATE(2026,11,2),'Diário de estudo'!A3:A530,"&lt;="&amp;DATE(2026,11,8))</f>
        <v/>
      </c>
      <c r="X6" s="35">
        <f>SUMIFS('Diário de estudo'!I3:I530,'Diário de estudo'!D3:D530,$A6,'Diário de estudo'!A3:A530,"&gt;="&amp;DATE(2026,11,2),'Diário de estudo'!A3:A530,"&lt;="&amp;DATE(2026,11,8))</f>
        <v/>
      </c>
      <c r="Y6" s="36">
        <f>IFERROR(X6/W6,"")</f>
        <v/>
      </c>
      <c r="Z6" s="35">
        <f>SUMIFS('Diário de estudo'!H3:H530,'Diário de estudo'!D3:D530,$A6,'Diário de estudo'!A3:A530,"&gt;="&amp;DATE(2026,11,9),'Diário de estudo'!A3:A530,"&lt;="&amp;DATE(2026,11,15))</f>
        <v/>
      </c>
      <c r="AA6" s="35">
        <f>SUMIFS('Diário de estudo'!I3:I530,'Diário de estudo'!D3:D530,$A6,'Diário de estudo'!A3:A530,"&gt;="&amp;DATE(2026,11,9),'Diário de estudo'!A3:A530,"&lt;="&amp;DATE(2026,11,15))</f>
        <v/>
      </c>
      <c r="AB6" s="36">
        <f>IFERROR(AA6/Z6,"")</f>
        <v/>
      </c>
      <c r="AC6" s="35">
        <f>SUMIFS('Diário de estudo'!H3:H530,'Diário de estudo'!D3:D530,$A6,'Diário de estudo'!A3:A530,"&gt;="&amp;DATE(2026,11,16),'Diário de estudo'!A3:A530,"&lt;="&amp;DATE(2026,11,22))</f>
        <v/>
      </c>
      <c r="AD6" s="35">
        <f>SUMIFS('Diário de estudo'!I3:I530,'Diário de estudo'!D3:D530,$A6,'Diário de estudo'!A3:A530,"&gt;="&amp;DATE(2026,11,16),'Diário de estudo'!A3:A530,"&lt;="&amp;DATE(2026,11,22))</f>
        <v/>
      </c>
      <c r="AE6" s="36">
        <f>IFERROR(AD6/AC6,"")</f>
        <v/>
      </c>
      <c r="AF6" s="35">
        <f>SUMIFS('Diário de estudo'!H3:H530,'Diário de estudo'!D3:D530,$A6,'Diário de estudo'!A3:A530,"&gt;="&amp;DATE(2026,11,23),'Diário de estudo'!A3:A530,"&lt;="&amp;DATE(2026,11,29))</f>
        <v/>
      </c>
      <c r="AG6" s="35">
        <f>SUMIFS('Diário de estudo'!I3:I530,'Diário de estudo'!D3:D530,$A6,'Diário de estudo'!A3:A530,"&gt;="&amp;DATE(2026,11,23),'Diário de estudo'!A3:A530,"&lt;="&amp;DATE(2026,11,29))</f>
        <v/>
      </c>
      <c r="AH6" s="36">
        <f>IFERROR(AG6/AF6,"")</f>
        <v/>
      </c>
      <c r="AI6" s="35">
        <f>SUMIFS('Diário de estudo'!H3:H530,'Diário de estudo'!D3:D530,$A6,'Diário de estudo'!A3:A530,"&gt;="&amp;DATE(2026,11,30),'Diário de estudo'!A3:A530,"&lt;="&amp;DATE(2026,12,6))</f>
        <v/>
      </c>
      <c r="AJ6" s="35">
        <f>SUMIFS('Diário de estudo'!I3:I530,'Diário de estudo'!D3:D530,$A6,'Diário de estudo'!A3:A530,"&gt;="&amp;DATE(2026,11,30),'Diário de estudo'!A3:A530,"&lt;="&amp;DATE(2026,12,6))</f>
        <v/>
      </c>
      <c r="AK6" s="36">
        <f>IFERROR(AJ6/AI6,"")</f>
        <v/>
      </c>
      <c r="AL6" s="35">
        <f>SUMIFS('Diário de estudo'!H3:H530,'Diário de estudo'!D3:D530,$A6,'Diário de estudo'!A3:A530,"&gt;="&amp;DATE(2026,12,7),'Diário de estudo'!A3:A530,"&lt;="&amp;DATE(2026,12,13))</f>
        <v/>
      </c>
      <c r="AM6" s="35">
        <f>SUMIFS('Diário de estudo'!I3:I530,'Diário de estudo'!D3:D530,$A6,'Diário de estudo'!A3:A530,"&gt;="&amp;DATE(2026,12,7),'Diário de estudo'!A3:A530,"&lt;="&amp;DATE(2026,12,13))</f>
        <v/>
      </c>
      <c r="AN6" s="36">
        <f>IFERROR(AM6/AL6,"")</f>
        <v/>
      </c>
      <c r="AO6" s="35">
        <f>SUMIFS('Diário de estudo'!H3:H530,'Diário de estudo'!D3:D530,$A6,'Diário de estudo'!A3:A530,"&gt;="&amp;DATE(2026,12,14),'Diário de estudo'!A3:A530,"&lt;="&amp;DATE(2026,12,20))</f>
        <v/>
      </c>
      <c r="AP6" s="35">
        <f>SUMIFS('Diário de estudo'!I3:I530,'Diário de estudo'!D3:D530,$A6,'Diário de estudo'!A3:A530,"&gt;="&amp;DATE(2026,12,14),'Diário de estudo'!A3:A530,"&lt;="&amp;DATE(2026,12,20))</f>
        <v/>
      </c>
      <c r="AQ6" s="36">
        <f>IFERROR(AP6/AO6,"")</f>
        <v/>
      </c>
      <c r="AR6" s="35">
        <f>SUMIFS('Diário de estudo'!H3:H530,'Diário de estudo'!D3:D530,$A6,'Diário de estudo'!A3:A530,"&gt;="&amp;DATE(2026,12,21),'Diário de estudo'!A3:A530,"&lt;="&amp;DATE(2026,12,27))</f>
        <v/>
      </c>
      <c r="AS6" s="35">
        <f>SUMIFS('Diário de estudo'!I3:I530,'Diário de estudo'!D3:D530,$A6,'Diário de estudo'!A3:A530,"&gt;="&amp;DATE(2026,12,21),'Diário de estudo'!A3:A530,"&lt;="&amp;DATE(2026,12,27))</f>
        <v/>
      </c>
      <c r="AT6" s="36">
        <f>IFERROR(AS6/AR6,"")</f>
        <v/>
      </c>
      <c r="AU6" s="35">
        <f>SUMIFS('Diário de estudo'!H3:H530,'Diário de estudo'!D3:D530,$A6,'Diário de estudo'!A3:A530,"&gt;="&amp;DATE(2026,12,28),'Diário de estudo'!A3:A530,"&lt;="&amp;DATE(2027,1,3))</f>
        <v/>
      </c>
      <c r="AV6" s="35">
        <f>SUMIFS('Diário de estudo'!I3:I530,'Diário de estudo'!D3:D530,$A6,'Diário de estudo'!A3:A530,"&gt;="&amp;DATE(2026,12,28),'Diário de estudo'!A3:A530,"&lt;="&amp;DATE(2027,1,3))</f>
        <v/>
      </c>
      <c r="AW6" s="36">
        <f>IFERROR(AV6/AU6,"")</f>
        <v/>
      </c>
    </row>
    <row r="7">
      <c r="A7" s="41" t="inlineStr">
        <is>
          <t>LEGISLAÇÃO INSTITUCIONAL MP</t>
        </is>
      </c>
      <c r="B7" s="35">
        <f>SUMIFS('Diário de estudo'!H3:H530,'Diário de estudo'!D3:D530,$A7,'Diário de estudo'!A3:A530,"&gt;="&amp;DATE(2026,9,14),'Diário de estudo'!A3:A530,"&lt;="&amp;DATE(2026,9,20))</f>
        <v/>
      </c>
      <c r="C7" s="35">
        <f>SUMIFS('Diário de estudo'!I3:I530,'Diário de estudo'!D3:D530,$A7,'Diário de estudo'!A3:A530,"&gt;="&amp;DATE(2026,9,14),'Diário de estudo'!A3:A530,"&lt;="&amp;DATE(2026,9,20))</f>
        <v/>
      </c>
      <c r="D7" s="36">
        <f>IFERROR(C7/B7,"")</f>
        <v/>
      </c>
      <c r="E7" s="35">
        <f>SUMIFS('Diário de estudo'!H3:H530,'Diário de estudo'!D3:D530,$A7,'Diário de estudo'!A3:A530,"&gt;="&amp;DATE(2026,9,21),'Diário de estudo'!A3:A530,"&lt;="&amp;DATE(2026,9,27))</f>
        <v/>
      </c>
      <c r="F7" s="35">
        <f>SUMIFS('Diário de estudo'!I3:I530,'Diário de estudo'!D3:D530,$A7,'Diário de estudo'!A3:A530,"&gt;="&amp;DATE(2026,9,21),'Diário de estudo'!A3:A530,"&lt;="&amp;DATE(2026,9,27))</f>
        <v/>
      </c>
      <c r="G7" s="36">
        <f>IFERROR(F7/E7,"")</f>
        <v/>
      </c>
      <c r="H7" s="35">
        <f>SUMIFS('Diário de estudo'!H3:H530,'Diário de estudo'!D3:D530,$A7,'Diário de estudo'!A3:A530,"&gt;="&amp;DATE(2026,9,28),'Diário de estudo'!A3:A530,"&lt;="&amp;DATE(2026,10,4))</f>
        <v/>
      </c>
      <c r="I7" s="35">
        <f>SUMIFS('Diário de estudo'!I3:I530,'Diário de estudo'!D3:D530,$A7,'Diário de estudo'!A3:A530,"&gt;="&amp;DATE(2026,9,28),'Diário de estudo'!A3:A530,"&lt;="&amp;DATE(2026,10,4))</f>
        <v/>
      </c>
      <c r="J7" s="36">
        <f>IFERROR(I7/H7,"")</f>
        <v/>
      </c>
      <c r="K7" s="35">
        <f>SUMIFS('Diário de estudo'!H3:H530,'Diário de estudo'!D3:D530,$A7,'Diário de estudo'!A3:A530,"&gt;="&amp;DATE(2026,10,5),'Diário de estudo'!A3:A530,"&lt;="&amp;DATE(2026,10,11))</f>
        <v/>
      </c>
      <c r="L7" s="35">
        <f>SUMIFS('Diário de estudo'!I3:I530,'Diário de estudo'!D3:D530,$A7,'Diário de estudo'!A3:A530,"&gt;="&amp;DATE(2026,10,5),'Diário de estudo'!A3:A530,"&lt;="&amp;DATE(2026,10,11))</f>
        <v/>
      </c>
      <c r="M7" s="36">
        <f>IFERROR(L7/K7,"")</f>
        <v/>
      </c>
      <c r="N7" s="35">
        <f>SUMIFS('Diário de estudo'!H3:H530,'Diário de estudo'!D3:D530,$A7,'Diário de estudo'!A3:A530,"&gt;="&amp;DATE(2026,10,12),'Diário de estudo'!A3:A530,"&lt;="&amp;DATE(2026,10,18))</f>
        <v/>
      </c>
      <c r="O7" s="35">
        <f>SUMIFS('Diário de estudo'!I3:I530,'Diário de estudo'!D3:D530,$A7,'Diário de estudo'!A3:A530,"&gt;="&amp;DATE(2026,10,12),'Diário de estudo'!A3:A530,"&lt;="&amp;DATE(2026,10,18))</f>
        <v/>
      </c>
      <c r="P7" s="36">
        <f>IFERROR(O7/N7,"")</f>
        <v/>
      </c>
      <c r="Q7" s="35">
        <f>SUMIFS('Diário de estudo'!H3:H530,'Diário de estudo'!D3:D530,$A7,'Diário de estudo'!A3:A530,"&gt;="&amp;DATE(2026,10,19),'Diário de estudo'!A3:A530,"&lt;="&amp;DATE(2026,10,25))</f>
        <v/>
      </c>
      <c r="R7" s="35">
        <f>SUMIFS('Diário de estudo'!I3:I530,'Diário de estudo'!D3:D530,$A7,'Diário de estudo'!A3:A530,"&gt;="&amp;DATE(2026,10,19),'Diário de estudo'!A3:A530,"&lt;="&amp;DATE(2026,10,25))</f>
        <v/>
      </c>
      <c r="S7" s="36">
        <f>IFERROR(R7/Q7,"")</f>
        <v/>
      </c>
      <c r="T7" s="35">
        <f>SUMIFS('Diário de estudo'!H3:H530,'Diário de estudo'!D3:D530,$A7,'Diário de estudo'!A3:A530,"&gt;="&amp;DATE(2026,10,26),'Diário de estudo'!A3:A530,"&lt;="&amp;DATE(2026,11,1))</f>
        <v/>
      </c>
      <c r="U7" s="35">
        <f>SUMIFS('Diário de estudo'!I3:I530,'Diário de estudo'!D3:D530,$A7,'Diário de estudo'!A3:A530,"&gt;="&amp;DATE(2026,10,26),'Diário de estudo'!A3:A530,"&lt;="&amp;DATE(2026,11,1))</f>
        <v/>
      </c>
      <c r="V7" s="36">
        <f>IFERROR(U7/T7,"")</f>
        <v/>
      </c>
      <c r="W7" s="35">
        <f>SUMIFS('Diário de estudo'!H3:H530,'Diário de estudo'!D3:D530,$A7,'Diário de estudo'!A3:A530,"&gt;="&amp;DATE(2026,11,2),'Diário de estudo'!A3:A530,"&lt;="&amp;DATE(2026,11,8))</f>
        <v/>
      </c>
      <c r="X7" s="35">
        <f>SUMIFS('Diário de estudo'!I3:I530,'Diário de estudo'!D3:D530,$A7,'Diário de estudo'!A3:A530,"&gt;="&amp;DATE(2026,11,2),'Diário de estudo'!A3:A530,"&lt;="&amp;DATE(2026,11,8))</f>
        <v/>
      </c>
      <c r="Y7" s="36">
        <f>IFERROR(X7/W7,"")</f>
        <v/>
      </c>
      <c r="Z7" s="35">
        <f>SUMIFS('Diário de estudo'!H3:H530,'Diário de estudo'!D3:D530,$A7,'Diário de estudo'!A3:A530,"&gt;="&amp;DATE(2026,11,9),'Diário de estudo'!A3:A530,"&lt;="&amp;DATE(2026,11,15))</f>
        <v/>
      </c>
      <c r="AA7" s="35">
        <f>SUMIFS('Diário de estudo'!I3:I530,'Diário de estudo'!D3:D530,$A7,'Diário de estudo'!A3:A530,"&gt;="&amp;DATE(2026,11,9),'Diário de estudo'!A3:A530,"&lt;="&amp;DATE(2026,11,15))</f>
        <v/>
      </c>
      <c r="AB7" s="36">
        <f>IFERROR(AA7/Z7,"")</f>
        <v/>
      </c>
      <c r="AC7" s="35">
        <f>SUMIFS('Diário de estudo'!H3:H530,'Diário de estudo'!D3:D530,$A7,'Diário de estudo'!A3:A530,"&gt;="&amp;DATE(2026,11,16),'Diário de estudo'!A3:A530,"&lt;="&amp;DATE(2026,11,22))</f>
        <v/>
      </c>
      <c r="AD7" s="35">
        <f>SUMIFS('Diário de estudo'!I3:I530,'Diário de estudo'!D3:D530,$A7,'Diário de estudo'!A3:A530,"&gt;="&amp;DATE(2026,11,16),'Diário de estudo'!A3:A530,"&lt;="&amp;DATE(2026,11,22))</f>
        <v/>
      </c>
      <c r="AE7" s="36">
        <f>IFERROR(AD7/AC7,"")</f>
        <v/>
      </c>
      <c r="AF7" s="35">
        <f>SUMIFS('Diário de estudo'!H3:H530,'Diário de estudo'!D3:D530,$A7,'Diário de estudo'!A3:A530,"&gt;="&amp;DATE(2026,11,23),'Diário de estudo'!A3:A530,"&lt;="&amp;DATE(2026,11,29))</f>
        <v/>
      </c>
      <c r="AG7" s="35">
        <f>SUMIFS('Diário de estudo'!I3:I530,'Diário de estudo'!D3:D530,$A7,'Diário de estudo'!A3:A530,"&gt;="&amp;DATE(2026,11,23),'Diário de estudo'!A3:A530,"&lt;="&amp;DATE(2026,11,29))</f>
        <v/>
      </c>
      <c r="AH7" s="36">
        <f>IFERROR(AG7/AF7,"")</f>
        <v/>
      </c>
      <c r="AI7" s="35">
        <f>SUMIFS('Diário de estudo'!H3:H530,'Diário de estudo'!D3:D530,$A7,'Diário de estudo'!A3:A530,"&gt;="&amp;DATE(2026,11,30),'Diário de estudo'!A3:A530,"&lt;="&amp;DATE(2026,12,6))</f>
        <v/>
      </c>
      <c r="AJ7" s="35">
        <f>SUMIFS('Diário de estudo'!I3:I530,'Diário de estudo'!D3:D530,$A7,'Diário de estudo'!A3:A530,"&gt;="&amp;DATE(2026,11,30),'Diário de estudo'!A3:A530,"&lt;="&amp;DATE(2026,12,6))</f>
        <v/>
      </c>
      <c r="AK7" s="36">
        <f>IFERROR(AJ7/AI7,"")</f>
        <v/>
      </c>
      <c r="AL7" s="35">
        <f>SUMIFS('Diário de estudo'!H3:H530,'Diário de estudo'!D3:D530,$A7,'Diário de estudo'!A3:A530,"&gt;="&amp;DATE(2026,12,7),'Diário de estudo'!A3:A530,"&lt;="&amp;DATE(2026,12,13))</f>
        <v/>
      </c>
      <c r="AM7" s="35">
        <f>SUMIFS('Diário de estudo'!I3:I530,'Diário de estudo'!D3:D530,$A7,'Diário de estudo'!A3:A530,"&gt;="&amp;DATE(2026,12,7),'Diário de estudo'!A3:A530,"&lt;="&amp;DATE(2026,12,13))</f>
        <v/>
      </c>
      <c r="AN7" s="36">
        <f>IFERROR(AM7/AL7,"")</f>
        <v/>
      </c>
      <c r="AO7" s="35">
        <f>SUMIFS('Diário de estudo'!H3:H530,'Diário de estudo'!D3:D530,$A7,'Diário de estudo'!A3:A530,"&gt;="&amp;DATE(2026,12,14),'Diário de estudo'!A3:A530,"&lt;="&amp;DATE(2026,12,20))</f>
        <v/>
      </c>
      <c r="AP7" s="35">
        <f>SUMIFS('Diário de estudo'!I3:I530,'Diário de estudo'!D3:D530,$A7,'Diário de estudo'!A3:A530,"&gt;="&amp;DATE(2026,12,14),'Diário de estudo'!A3:A530,"&lt;="&amp;DATE(2026,12,20))</f>
        <v/>
      </c>
      <c r="AQ7" s="36">
        <f>IFERROR(AP7/AO7,"")</f>
        <v/>
      </c>
      <c r="AR7" s="35">
        <f>SUMIFS('Diário de estudo'!H3:H530,'Diário de estudo'!D3:D530,$A7,'Diário de estudo'!A3:A530,"&gt;="&amp;DATE(2026,12,21),'Diário de estudo'!A3:A530,"&lt;="&amp;DATE(2026,12,27))</f>
        <v/>
      </c>
      <c r="AS7" s="35">
        <f>SUMIFS('Diário de estudo'!I3:I530,'Diário de estudo'!D3:D530,$A7,'Diário de estudo'!A3:A530,"&gt;="&amp;DATE(2026,12,21),'Diário de estudo'!A3:A530,"&lt;="&amp;DATE(2026,12,27))</f>
        <v/>
      </c>
      <c r="AT7" s="36">
        <f>IFERROR(AS7/AR7,"")</f>
        <v/>
      </c>
      <c r="AU7" s="35">
        <f>SUMIFS('Diário de estudo'!H3:H530,'Diário de estudo'!D3:D530,$A7,'Diário de estudo'!A3:A530,"&gt;="&amp;DATE(2026,12,28),'Diário de estudo'!A3:A530,"&lt;="&amp;DATE(2027,1,3))</f>
        <v/>
      </c>
      <c r="AV7" s="35">
        <f>SUMIFS('Diário de estudo'!I3:I530,'Diário de estudo'!D3:D530,$A7,'Diário de estudo'!A3:A530,"&gt;="&amp;DATE(2026,12,28),'Diário de estudo'!A3:A530,"&lt;="&amp;DATE(2027,1,3))</f>
        <v/>
      </c>
      <c r="AW7" s="36">
        <f>IFERROR(AV7/AU7,"")</f>
        <v/>
      </c>
    </row>
    <row r="8">
      <c r="A8" s="41" t="inlineStr">
        <is>
          <t>ENGENHARIA DE SOFTWARE</t>
        </is>
      </c>
      <c r="B8" s="35">
        <f>SUMIFS('Diário de estudo'!H3:H530,'Diário de estudo'!D3:D530,$A8,'Diário de estudo'!A3:A530,"&gt;="&amp;DATE(2026,9,14),'Diário de estudo'!A3:A530,"&lt;="&amp;DATE(2026,9,20))</f>
        <v/>
      </c>
      <c r="C8" s="35">
        <f>SUMIFS('Diário de estudo'!I3:I530,'Diário de estudo'!D3:D530,$A8,'Diário de estudo'!A3:A530,"&gt;="&amp;DATE(2026,9,14),'Diário de estudo'!A3:A530,"&lt;="&amp;DATE(2026,9,20))</f>
        <v/>
      </c>
      <c r="D8" s="36">
        <f>IFERROR(C8/B8,"")</f>
        <v/>
      </c>
      <c r="E8" s="35">
        <f>SUMIFS('Diário de estudo'!H3:H530,'Diário de estudo'!D3:D530,$A8,'Diário de estudo'!A3:A530,"&gt;="&amp;DATE(2026,9,21),'Diário de estudo'!A3:A530,"&lt;="&amp;DATE(2026,9,27))</f>
        <v/>
      </c>
      <c r="F8" s="35">
        <f>SUMIFS('Diário de estudo'!I3:I530,'Diário de estudo'!D3:D530,$A8,'Diário de estudo'!A3:A530,"&gt;="&amp;DATE(2026,9,21),'Diário de estudo'!A3:A530,"&lt;="&amp;DATE(2026,9,27))</f>
        <v/>
      </c>
      <c r="G8" s="36">
        <f>IFERROR(F8/E8,"")</f>
        <v/>
      </c>
      <c r="H8" s="35">
        <f>SUMIFS('Diário de estudo'!H3:H530,'Diário de estudo'!D3:D530,$A8,'Diário de estudo'!A3:A530,"&gt;="&amp;DATE(2026,9,28),'Diário de estudo'!A3:A530,"&lt;="&amp;DATE(2026,10,4))</f>
        <v/>
      </c>
      <c r="I8" s="35">
        <f>SUMIFS('Diário de estudo'!I3:I530,'Diário de estudo'!D3:D530,$A8,'Diário de estudo'!A3:A530,"&gt;="&amp;DATE(2026,9,28),'Diário de estudo'!A3:A530,"&lt;="&amp;DATE(2026,10,4))</f>
        <v/>
      </c>
      <c r="J8" s="36">
        <f>IFERROR(I8/H8,"")</f>
        <v/>
      </c>
      <c r="K8" s="35">
        <f>SUMIFS('Diário de estudo'!H3:H530,'Diário de estudo'!D3:D530,$A8,'Diário de estudo'!A3:A530,"&gt;="&amp;DATE(2026,10,5),'Diário de estudo'!A3:A530,"&lt;="&amp;DATE(2026,10,11))</f>
        <v/>
      </c>
      <c r="L8" s="35">
        <f>SUMIFS('Diário de estudo'!I3:I530,'Diário de estudo'!D3:D530,$A8,'Diário de estudo'!A3:A530,"&gt;="&amp;DATE(2026,10,5),'Diário de estudo'!A3:A530,"&lt;="&amp;DATE(2026,10,11))</f>
        <v/>
      </c>
      <c r="M8" s="36">
        <f>IFERROR(L8/K8,"")</f>
        <v/>
      </c>
      <c r="N8" s="35">
        <f>SUMIFS('Diário de estudo'!H3:H530,'Diário de estudo'!D3:D530,$A8,'Diário de estudo'!A3:A530,"&gt;="&amp;DATE(2026,10,12),'Diário de estudo'!A3:A530,"&lt;="&amp;DATE(2026,10,18))</f>
        <v/>
      </c>
      <c r="O8" s="35">
        <f>SUMIFS('Diário de estudo'!I3:I530,'Diário de estudo'!D3:D530,$A8,'Diário de estudo'!A3:A530,"&gt;="&amp;DATE(2026,10,12),'Diário de estudo'!A3:A530,"&lt;="&amp;DATE(2026,10,18))</f>
        <v/>
      </c>
      <c r="P8" s="36">
        <f>IFERROR(O8/N8,"")</f>
        <v/>
      </c>
      <c r="Q8" s="35">
        <f>SUMIFS('Diário de estudo'!H3:H530,'Diário de estudo'!D3:D530,$A8,'Diário de estudo'!A3:A530,"&gt;="&amp;DATE(2026,10,19),'Diário de estudo'!A3:A530,"&lt;="&amp;DATE(2026,10,25))</f>
        <v/>
      </c>
      <c r="R8" s="35">
        <f>SUMIFS('Diário de estudo'!I3:I530,'Diário de estudo'!D3:D530,$A8,'Diário de estudo'!A3:A530,"&gt;="&amp;DATE(2026,10,19),'Diário de estudo'!A3:A530,"&lt;="&amp;DATE(2026,10,25))</f>
        <v/>
      </c>
      <c r="S8" s="36">
        <f>IFERROR(R8/Q8,"")</f>
        <v/>
      </c>
      <c r="T8" s="35">
        <f>SUMIFS('Diário de estudo'!H3:H530,'Diário de estudo'!D3:D530,$A8,'Diário de estudo'!A3:A530,"&gt;="&amp;DATE(2026,10,26),'Diário de estudo'!A3:A530,"&lt;="&amp;DATE(2026,11,1))</f>
        <v/>
      </c>
      <c r="U8" s="35">
        <f>SUMIFS('Diário de estudo'!I3:I530,'Diário de estudo'!D3:D530,$A8,'Diário de estudo'!A3:A530,"&gt;="&amp;DATE(2026,10,26),'Diário de estudo'!A3:A530,"&lt;="&amp;DATE(2026,11,1))</f>
        <v/>
      </c>
      <c r="V8" s="36">
        <f>IFERROR(U8/T8,"")</f>
        <v/>
      </c>
      <c r="W8" s="35">
        <f>SUMIFS('Diário de estudo'!H3:H530,'Diário de estudo'!D3:D530,$A8,'Diário de estudo'!A3:A530,"&gt;="&amp;DATE(2026,11,2),'Diário de estudo'!A3:A530,"&lt;="&amp;DATE(2026,11,8))</f>
        <v/>
      </c>
      <c r="X8" s="35">
        <f>SUMIFS('Diário de estudo'!I3:I530,'Diário de estudo'!D3:D530,$A8,'Diário de estudo'!A3:A530,"&gt;="&amp;DATE(2026,11,2),'Diário de estudo'!A3:A530,"&lt;="&amp;DATE(2026,11,8))</f>
        <v/>
      </c>
      <c r="Y8" s="36">
        <f>IFERROR(X8/W8,"")</f>
        <v/>
      </c>
      <c r="Z8" s="35">
        <f>SUMIFS('Diário de estudo'!H3:H530,'Diário de estudo'!D3:D530,$A8,'Diário de estudo'!A3:A530,"&gt;="&amp;DATE(2026,11,9),'Diário de estudo'!A3:A530,"&lt;="&amp;DATE(2026,11,15))</f>
        <v/>
      </c>
      <c r="AA8" s="35">
        <f>SUMIFS('Diário de estudo'!I3:I530,'Diário de estudo'!D3:D530,$A8,'Diário de estudo'!A3:A530,"&gt;="&amp;DATE(2026,11,9),'Diário de estudo'!A3:A530,"&lt;="&amp;DATE(2026,11,15))</f>
        <v/>
      </c>
      <c r="AB8" s="36">
        <f>IFERROR(AA8/Z8,"")</f>
        <v/>
      </c>
      <c r="AC8" s="35">
        <f>SUMIFS('Diário de estudo'!H3:H530,'Diário de estudo'!D3:D530,$A8,'Diário de estudo'!A3:A530,"&gt;="&amp;DATE(2026,11,16),'Diário de estudo'!A3:A530,"&lt;="&amp;DATE(2026,11,22))</f>
        <v/>
      </c>
      <c r="AD8" s="35">
        <f>SUMIFS('Diário de estudo'!I3:I530,'Diário de estudo'!D3:D530,$A8,'Diário de estudo'!A3:A530,"&gt;="&amp;DATE(2026,11,16),'Diário de estudo'!A3:A530,"&lt;="&amp;DATE(2026,11,22))</f>
        <v/>
      </c>
      <c r="AE8" s="36">
        <f>IFERROR(AD8/AC8,"")</f>
        <v/>
      </c>
      <c r="AF8" s="35">
        <f>SUMIFS('Diário de estudo'!H3:H530,'Diário de estudo'!D3:D530,$A8,'Diário de estudo'!A3:A530,"&gt;="&amp;DATE(2026,11,23),'Diário de estudo'!A3:A530,"&lt;="&amp;DATE(2026,11,29))</f>
        <v/>
      </c>
      <c r="AG8" s="35">
        <f>SUMIFS('Diário de estudo'!I3:I530,'Diário de estudo'!D3:D530,$A8,'Diário de estudo'!A3:A530,"&gt;="&amp;DATE(2026,11,23),'Diário de estudo'!A3:A530,"&lt;="&amp;DATE(2026,11,29))</f>
        <v/>
      </c>
      <c r="AH8" s="36">
        <f>IFERROR(AG8/AF8,"")</f>
        <v/>
      </c>
      <c r="AI8" s="35">
        <f>SUMIFS('Diário de estudo'!H3:H530,'Diário de estudo'!D3:D530,$A8,'Diário de estudo'!A3:A530,"&gt;="&amp;DATE(2026,11,30),'Diário de estudo'!A3:A530,"&lt;="&amp;DATE(2026,12,6))</f>
        <v/>
      </c>
      <c r="AJ8" s="35">
        <f>SUMIFS('Diário de estudo'!I3:I530,'Diário de estudo'!D3:D530,$A8,'Diário de estudo'!A3:A530,"&gt;="&amp;DATE(2026,11,30),'Diário de estudo'!A3:A530,"&lt;="&amp;DATE(2026,12,6))</f>
        <v/>
      </c>
      <c r="AK8" s="36">
        <f>IFERROR(AJ8/AI8,"")</f>
        <v/>
      </c>
      <c r="AL8" s="35">
        <f>SUMIFS('Diário de estudo'!H3:H530,'Diário de estudo'!D3:D530,$A8,'Diário de estudo'!A3:A530,"&gt;="&amp;DATE(2026,12,7),'Diário de estudo'!A3:A530,"&lt;="&amp;DATE(2026,12,13))</f>
        <v/>
      </c>
      <c r="AM8" s="35">
        <f>SUMIFS('Diário de estudo'!I3:I530,'Diário de estudo'!D3:D530,$A8,'Diário de estudo'!A3:A530,"&gt;="&amp;DATE(2026,12,7),'Diário de estudo'!A3:A530,"&lt;="&amp;DATE(2026,12,13))</f>
        <v/>
      </c>
      <c r="AN8" s="36">
        <f>IFERROR(AM8/AL8,"")</f>
        <v/>
      </c>
      <c r="AO8" s="35">
        <f>SUMIFS('Diário de estudo'!H3:H530,'Diário de estudo'!D3:D530,$A8,'Diário de estudo'!A3:A530,"&gt;="&amp;DATE(2026,12,14),'Diário de estudo'!A3:A530,"&lt;="&amp;DATE(2026,12,20))</f>
        <v/>
      </c>
      <c r="AP8" s="35">
        <f>SUMIFS('Diário de estudo'!I3:I530,'Diário de estudo'!D3:D530,$A8,'Diário de estudo'!A3:A530,"&gt;="&amp;DATE(2026,12,14),'Diário de estudo'!A3:A530,"&lt;="&amp;DATE(2026,12,20))</f>
        <v/>
      </c>
      <c r="AQ8" s="36">
        <f>IFERROR(AP8/AO8,"")</f>
        <v/>
      </c>
      <c r="AR8" s="35">
        <f>SUMIFS('Diário de estudo'!H3:H530,'Diário de estudo'!D3:D530,$A8,'Diário de estudo'!A3:A530,"&gt;="&amp;DATE(2026,12,21),'Diário de estudo'!A3:A530,"&lt;="&amp;DATE(2026,12,27))</f>
        <v/>
      </c>
      <c r="AS8" s="35">
        <f>SUMIFS('Diário de estudo'!I3:I530,'Diário de estudo'!D3:D530,$A8,'Diário de estudo'!A3:A530,"&gt;="&amp;DATE(2026,12,21),'Diário de estudo'!A3:A530,"&lt;="&amp;DATE(2026,12,27))</f>
        <v/>
      </c>
      <c r="AT8" s="36">
        <f>IFERROR(AS8/AR8,"")</f>
        <v/>
      </c>
      <c r="AU8" s="35">
        <f>SUMIFS('Diário de estudo'!H3:H530,'Diário de estudo'!D3:D530,$A8,'Diário de estudo'!A3:A530,"&gt;="&amp;DATE(2026,12,28),'Diário de estudo'!A3:A530,"&lt;="&amp;DATE(2027,1,3))</f>
        <v/>
      </c>
      <c r="AV8" s="35">
        <f>SUMIFS('Diário de estudo'!I3:I530,'Diário de estudo'!D3:D530,$A8,'Diário de estudo'!A3:A530,"&gt;="&amp;DATE(2026,12,28),'Diário de estudo'!A3:A530,"&lt;="&amp;DATE(2027,1,3))</f>
        <v/>
      </c>
      <c r="AW8" s="36">
        <f>IFERROR(AV8/AU8,"")</f>
        <v/>
      </c>
    </row>
    <row r="9">
      <c r="A9" s="41" t="inlineStr">
        <is>
          <t>ARQUITETURA DE SOFTWARE</t>
        </is>
      </c>
      <c r="B9" s="35">
        <f>SUMIFS('Diário de estudo'!H3:H530,'Diário de estudo'!D3:D530,$A9,'Diário de estudo'!A3:A530,"&gt;="&amp;DATE(2026,9,14),'Diário de estudo'!A3:A530,"&lt;="&amp;DATE(2026,9,20))</f>
        <v/>
      </c>
      <c r="C9" s="35">
        <f>SUMIFS('Diário de estudo'!I3:I530,'Diário de estudo'!D3:D530,$A9,'Diário de estudo'!A3:A530,"&gt;="&amp;DATE(2026,9,14),'Diário de estudo'!A3:A530,"&lt;="&amp;DATE(2026,9,20))</f>
        <v/>
      </c>
      <c r="D9" s="36">
        <f>IFERROR(C9/B9,"")</f>
        <v/>
      </c>
      <c r="E9" s="35">
        <f>SUMIFS('Diário de estudo'!H3:H530,'Diário de estudo'!D3:D530,$A9,'Diário de estudo'!A3:A530,"&gt;="&amp;DATE(2026,9,21),'Diário de estudo'!A3:A530,"&lt;="&amp;DATE(2026,9,27))</f>
        <v/>
      </c>
      <c r="F9" s="35">
        <f>SUMIFS('Diário de estudo'!I3:I530,'Diário de estudo'!D3:D530,$A9,'Diário de estudo'!A3:A530,"&gt;="&amp;DATE(2026,9,21),'Diário de estudo'!A3:A530,"&lt;="&amp;DATE(2026,9,27))</f>
        <v/>
      </c>
      <c r="G9" s="36">
        <f>IFERROR(F9/E9,"")</f>
        <v/>
      </c>
      <c r="H9" s="35">
        <f>SUMIFS('Diário de estudo'!H3:H530,'Diário de estudo'!D3:D530,$A9,'Diário de estudo'!A3:A530,"&gt;="&amp;DATE(2026,9,28),'Diário de estudo'!A3:A530,"&lt;="&amp;DATE(2026,10,4))</f>
        <v/>
      </c>
      <c r="I9" s="35">
        <f>SUMIFS('Diário de estudo'!I3:I530,'Diário de estudo'!D3:D530,$A9,'Diário de estudo'!A3:A530,"&gt;="&amp;DATE(2026,9,28),'Diário de estudo'!A3:A530,"&lt;="&amp;DATE(2026,10,4))</f>
        <v/>
      </c>
      <c r="J9" s="36">
        <f>IFERROR(I9/H9,"")</f>
        <v/>
      </c>
      <c r="K9" s="35">
        <f>SUMIFS('Diário de estudo'!H3:H530,'Diário de estudo'!D3:D530,$A9,'Diário de estudo'!A3:A530,"&gt;="&amp;DATE(2026,10,5),'Diário de estudo'!A3:A530,"&lt;="&amp;DATE(2026,10,11))</f>
        <v/>
      </c>
      <c r="L9" s="35">
        <f>SUMIFS('Diário de estudo'!I3:I530,'Diário de estudo'!D3:D530,$A9,'Diário de estudo'!A3:A530,"&gt;="&amp;DATE(2026,10,5),'Diário de estudo'!A3:A530,"&lt;="&amp;DATE(2026,10,11))</f>
        <v/>
      </c>
      <c r="M9" s="36">
        <f>IFERROR(L9/K9,"")</f>
        <v/>
      </c>
      <c r="N9" s="35">
        <f>SUMIFS('Diário de estudo'!H3:H530,'Diário de estudo'!D3:D530,$A9,'Diário de estudo'!A3:A530,"&gt;="&amp;DATE(2026,10,12),'Diário de estudo'!A3:A530,"&lt;="&amp;DATE(2026,10,18))</f>
        <v/>
      </c>
      <c r="O9" s="35">
        <f>SUMIFS('Diário de estudo'!I3:I530,'Diário de estudo'!D3:D530,$A9,'Diário de estudo'!A3:A530,"&gt;="&amp;DATE(2026,10,12),'Diário de estudo'!A3:A530,"&lt;="&amp;DATE(2026,10,18))</f>
        <v/>
      </c>
      <c r="P9" s="36">
        <f>IFERROR(O9/N9,"")</f>
        <v/>
      </c>
      <c r="Q9" s="35">
        <f>SUMIFS('Diário de estudo'!H3:H530,'Diário de estudo'!D3:D530,$A9,'Diário de estudo'!A3:A530,"&gt;="&amp;DATE(2026,10,19),'Diário de estudo'!A3:A530,"&lt;="&amp;DATE(2026,10,25))</f>
        <v/>
      </c>
      <c r="R9" s="35">
        <f>SUMIFS('Diário de estudo'!I3:I530,'Diário de estudo'!D3:D530,$A9,'Diário de estudo'!A3:A530,"&gt;="&amp;DATE(2026,10,19),'Diário de estudo'!A3:A530,"&lt;="&amp;DATE(2026,10,25))</f>
        <v/>
      </c>
      <c r="S9" s="36">
        <f>IFERROR(R9/Q9,"")</f>
        <v/>
      </c>
      <c r="T9" s="35">
        <f>SUMIFS('Diário de estudo'!H3:H530,'Diário de estudo'!D3:D530,$A9,'Diário de estudo'!A3:A530,"&gt;="&amp;DATE(2026,10,26),'Diário de estudo'!A3:A530,"&lt;="&amp;DATE(2026,11,1))</f>
        <v/>
      </c>
      <c r="U9" s="35">
        <f>SUMIFS('Diário de estudo'!I3:I530,'Diário de estudo'!D3:D530,$A9,'Diário de estudo'!A3:A530,"&gt;="&amp;DATE(2026,10,26),'Diário de estudo'!A3:A530,"&lt;="&amp;DATE(2026,11,1))</f>
        <v/>
      </c>
      <c r="V9" s="36">
        <f>IFERROR(U9/T9,"")</f>
        <v/>
      </c>
      <c r="W9" s="35">
        <f>SUMIFS('Diário de estudo'!H3:H530,'Diário de estudo'!D3:D530,$A9,'Diário de estudo'!A3:A530,"&gt;="&amp;DATE(2026,11,2),'Diário de estudo'!A3:A530,"&lt;="&amp;DATE(2026,11,8))</f>
        <v/>
      </c>
      <c r="X9" s="35">
        <f>SUMIFS('Diário de estudo'!I3:I530,'Diário de estudo'!D3:D530,$A9,'Diário de estudo'!A3:A530,"&gt;="&amp;DATE(2026,11,2),'Diário de estudo'!A3:A530,"&lt;="&amp;DATE(2026,11,8))</f>
        <v/>
      </c>
      <c r="Y9" s="36">
        <f>IFERROR(X9/W9,"")</f>
        <v/>
      </c>
      <c r="Z9" s="35">
        <f>SUMIFS('Diário de estudo'!H3:H530,'Diário de estudo'!D3:D530,$A9,'Diário de estudo'!A3:A530,"&gt;="&amp;DATE(2026,11,9),'Diário de estudo'!A3:A530,"&lt;="&amp;DATE(2026,11,15))</f>
        <v/>
      </c>
      <c r="AA9" s="35">
        <f>SUMIFS('Diário de estudo'!I3:I530,'Diário de estudo'!D3:D530,$A9,'Diário de estudo'!A3:A530,"&gt;="&amp;DATE(2026,11,9),'Diário de estudo'!A3:A530,"&lt;="&amp;DATE(2026,11,15))</f>
        <v/>
      </c>
      <c r="AB9" s="36">
        <f>IFERROR(AA9/Z9,"")</f>
        <v/>
      </c>
      <c r="AC9" s="35">
        <f>SUMIFS('Diário de estudo'!H3:H530,'Diário de estudo'!D3:D530,$A9,'Diário de estudo'!A3:A530,"&gt;="&amp;DATE(2026,11,16),'Diário de estudo'!A3:A530,"&lt;="&amp;DATE(2026,11,22))</f>
        <v/>
      </c>
      <c r="AD9" s="35">
        <f>SUMIFS('Diário de estudo'!I3:I530,'Diário de estudo'!D3:D530,$A9,'Diário de estudo'!A3:A530,"&gt;="&amp;DATE(2026,11,16),'Diário de estudo'!A3:A530,"&lt;="&amp;DATE(2026,11,22))</f>
        <v/>
      </c>
      <c r="AE9" s="36">
        <f>IFERROR(AD9/AC9,"")</f>
        <v/>
      </c>
      <c r="AF9" s="35">
        <f>SUMIFS('Diário de estudo'!H3:H530,'Diário de estudo'!D3:D530,$A9,'Diário de estudo'!A3:A530,"&gt;="&amp;DATE(2026,11,23),'Diário de estudo'!A3:A530,"&lt;="&amp;DATE(2026,11,29))</f>
        <v/>
      </c>
      <c r="AG9" s="35">
        <f>SUMIFS('Diário de estudo'!I3:I530,'Diário de estudo'!D3:D530,$A9,'Diário de estudo'!A3:A530,"&gt;="&amp;DATE(2026,11,23),'Diário de estudo'!A3:A530,"&lt;="&amp;DATE(2026,11,29))</f>
        <v/>
      </c>
      <c r="AH9" s="36">
        <f>IFERROR(AG9/AF9,"")</f>
        <v/>
      </c>
      <c r="AI9" s="35">
        <f>SUMIFS('Diário de estudo'!H3:H530,'Diário de estudo'!D3:D530,$A9,'Diário de estudo'!A3:A530,"&gt;="&amp;DATE(2026,11,30),'Diário de estudo'!A3:A530,"&lt;="&amp;DATE(2026,12,6))</f>
        <v/>
      </c>
      <c r="AJ9" s="35">
        <f>SUMIFS('Diário de estudo'!I3:I530,'Diário de estudo'!D3:D530,$A9,'Diário de estudo'!A3:A530,"&gt;="&amp;DATE(2026,11,30),'Diário de estudo'!A3:A530,"&lt;="&amp;DATE(2026,12,6))</f>
        <v/>
      </c>
      <c r="AK9" s="36">
        <f>IFERROR(AJ9/AI9,"")</f>
        <v/>
      </c>
      <c r="AL9" s="35">
        <f>SUMIFS('Diário de estudo'!H3:H530,'Diário de estudo'!D3:D530,$A9,'Diário de estudo'!A3:A530,"&gt;="&amp;DATE(2026,12,7),'Diário de estudo'!A3:A530,"&lt;="&amp;DATE(2026,12,13))</f>
        <v/>
      </c>
      <c r="AM9" s="35">
        <f>SUMIFS('Diário de estudo'!I3:I530,'Diário de estudo'!D3:D530,$A9,'Diário de estudo'!A3:A530,"&gt;="&amp;DATE(2026,12,7),'Diário de estudo'!A3:A530,"&lt;="&amp;DATE(2026,12,13))</f>
        <v/>
      </c>
      <c r="AN9" s="36">
        <f>IFERROR(AM9/AL9,"")</f>
        <v/>
      </c>
      <c r="AO9" s="35">
        <f>SUMIFS('Diário de estudo'!H3:H530,'Diário de estudo'!D3:D530,$A9,'Diário de estudo'!A3:A530,"&gt;="&amp;DATE(2026,12,14),'Diário de estudo'!A3:A530,"&lt;="&amp;DATE(2026,12,20))</f>
        <v/>
      </c>
      <c r="AP9" s="35">
        <f>SUMIFS('Diário de estudo'!I3:I530,'Diário de estudo'!D3:D530,$A9,'Diário de estudo'!A3:A530,"&gt;="&amp;DATE(2026,12,14),'Diário de estudo'!A3:A530,"&lt;="&amp;DATE(2026,12,20))</f>
        <v/>
      </c>
      <c r="AQ9" s="36">
        <f>IFERROR(AP9/AO9,"")</f>
        <v/>
      </c>
      <c r="AR9" s="35">
        <f>SUMIFS('Diário de estudo'!H3:H530,'Diário de estudo'!D3:D530,$A9,'Diário de estudo'!A3:A530,"&gt;="&amp;DATE(2026,12,21),'Diário de estudo'!A3:A530,"&lt;="&amp;DATE(2026,12,27))</f>
        <v/>
      </c>
      <c r="AS9" s="35">
        <f>SUMIFS('Diário de estudo'!I3:I530,'Diário de estudo'!D3:D530,$A9,'Diário de estudo'!A3:A530,"&gt;="&amp;DATE(2026,12,21),'Diário de estudo'!A3:A530,"&lt;="&amp;DATE(2026,12,27))</f>
        <v/>
      </c>
      <c r="AT9" s="36">
        <f>IFERROR(AS9/AR9,"")</f>
        <v/>
      </c>
      <c r="AU9" s="35">
        <f>SUMIFS('Diário de estudo'!H3:H530,'Diário de estudo'!D3:D530,$A9,'Diário de estudo'!A3:A530,"&gt;="&amp;DATE(2026,12,28),'Diário de estudo'!A3:A530,"&lt;="&amp;DATE(2027,1,3))</f>
        <v/>
      </c>
      <c r="AV9" s="35">
        <f>SUMIFS('Diário de estudo'!I3:I530,'Diário de estudo'!D3:D530,$A9,'Diário de estudo'!A3:A530,"&gt;="&amp;DATE(2026,12,28),'Diário de estudo'!A3:A530,"&lt;="&amp;DATE(2027,1,3))</f>
        <v/>
      </c>
      <c r="AW9" s="36">
        <f>IFERROR(AV9/AU9,"")</f>
        <v/>
      </c>
    </row>
    <row r="10">
      <c r="A10" s="41" t="inlineStr">
        <is>
          <t>LINGUAGENS DE PROGRAMAÇÃO</t>
        </is>
      </c>
      <c r="B10" s="35">
        <f>SUMIFS('Diário de estudo'!H3:H530,'Diário de estudo'!D3:D530,$A10,'Diário de estudo'!A3:A530,"&gt;="&amp;DATE(2026,9,14),'Diário de estudo'!A3:A530,"&lt;="&amp;DATE(2026,9,20))</f>
        <v/>
      </c>
      <c r="C10" s="35">
        <f>SUMIFS('Diário de estudo'!I3:I530,'Diário de estudo'!D3:D530,$A10,'Diário de estudo'!A3:A530,"&gt;="&amp;DATE(2026,9,14),'Diário de estudo'!A3:A530,"&lt;="&amp;DATE(2026,9,20))</f>
        <v/>
      </c>
      <c r="D10" s="36">
        <f>IFERROR(C10/B10,"")</f>
        <v/>
      </c>
      <c r="E10" s="35">
        <f>SUMIFS('Diário de estudo'!H3:H530,'Diário de estudo'!D3:D530,$A10,'Diário de estudo'!A3:A530,"&gt;="&amp;DATE(2026,9,21),'Diário de estudo'!A3:A530,"&lt;="&amp;DATE(2026,9,27))</f>
        <v/>
      </c>
      <c r="F10" s="35">
        <f>SUMIFS('Diário de estudo'!I3:I530,'Diário de estudo'!D3:D530,$A10,'Diário de estudo'!A3:A530,"&gt;="&amp;DATE(2026,9,21),'Diário de estudo'!A3:A530,"&lt;="&amp;DATE(2026,9,27))</f>
        <v/>
      </c>
      <c r="G10" s="36">
        <f>IFERROR(F10/E10,"")</f>
        <v/>
      </c>
      <c r="H10" s="35">
        <f>SUMIFS('Diário de estudo'!H3:H530,'Diário de estudo'!D3:D530,$A10,'Diário de estudo'!A3:A530,"&gt;="&amp;DATE(2026,9,28),'Diário de estudo'!A3:A530,"&lt;="&amp;DATE(2026,10,4))</f>
        <v/>
      </c>
      <c r="I10" s="35">
        <f>SUMIFS('Diário de estudo'!I3:I530,'Diário de estudo'!D3:D530,$A10,'Diário de estudo'!A3:A530,"&gt;="&amp;DATE(2026,9,28),'Diário de estudo'!A3:A530,"&lt;="&amp;DATE(2026,10,4))</f>
        <v/>
      </c>
      <c r="J10" s="36">
        <f>IFERROR(I10/H10,"")</f>
        <v/>
      </c>
      <c r="K10" s="35">
        <f>SUMIFS('Diário de estudo'!H3:H530,'Diário de estudo'!D3:D530,$A10,'Diário de estudo'!A3:A530,"&gt;="&amp;DATE(2026,10,5),'Diário de estudo'!A3:A530,"&lt;="&amp;DATE(2026,10,11))</f>
        <v/>
      </c>
      <c r="L10" s="35">
        <f>SUMIFS('Diário de estudo'!I3:I530,'Diário de estudo'!D3:D530,$A10,'Diário de estudo'!A3:A530,"&gt;="&amp;DATE(2026,10,5),'Diário de estudo'!A3:A530,"&lt;="&amp;DATE(2026,10,11))</f>
        <v/>
      </c>
      <c r="M10" s="36">
        <f>IFERROR(L10/K10,"")</f>
        <v/>
      </c>
      <c r="N10" s="35">
        <f>SUMIFS('Diário de estudo'!H3:H530,'Diário de estudo'!D3:D530,$A10,'Diário de estudo'!A3:A530,"&gt;="&amp;DATE(2026,10,12),'Diário de estudo'!A3:A530,"&lt;="&amp;DATE(2026,10,18))</f>
        <v/>
      </c>
      <c r="O10" s="35">
        <f>SUMIFS('Diário de estudo'!I3:I530,'Diário de estudo'!D3:D530,$A10,'Diário de estudo'!A3:A530,"&gt;="&amp;DATE(2026,10,12),'Diário de estudo'!A3:A530,"&lt;="&amp;DATE(2026,10,18))</f>
        <v/>
      </c>
      <c r="P10" s="36">
        <f>IFERROR(O10/N10,"")</f>
        <v/>
      </c>
      <c r="Q10" s="35">
        <f>SUMIFS('Diário de estudo'!H3:H530,'Diário de estudo'!D3:D530,$A10,'Diário de estudo'!A3:A530,"&gt;="&amp;DATE(2026,10,19),'Diário de estudo'!A3:A530,"&lt;="&amp;DATE(2026,10,25))</f>
        <v/>
      </c>
      <c r="R10" s="35">
        <f>SUMIFS('Diário de estudo'!I3:I530,'Diário de estudo'!D3:D530,$A10,'Diário de estudo'!A3:A530,"&gt;="&amp;DATE(2026,10,19),'Diário de estudo'!A3:A530,"&lt;="&amp;DATE(2026,10,25))</f>
        <v/>
      </c>
      <c r="S10" s="36">
        <f>IFERROR(R10/Q10,"")</f>
        <v/>
      </c>
      <c r="T10" s="35">
        <f>SUMIFS('Diário de estudo'!H3:H530,'Diário de estudo'!D3:D530,$A10,'Diário de estudo'!A3:A530,"&gt;="&amp;DATE(2026,10,26),'Diário de estudo'!A3:A530,"&lt;="&amp;DATE(2026,11,1))</f>
        <v/>
      </c>
      <c r="U10" s="35">
        <f>SUMIFS('Diário de estudo'!I3:I530,'Diário de estudo'!D3:D530,$A10,'Diário de estudo'!A3:A530,"&gt;="&amp;DATE(2026,10,26),'Diário de estudo'!A3:A530,"&lt;="&amp;DATE(2026,11,1))</f>
        <v/>
      </c>
      <c r="V10" s="36">
        <f>IFERROR(U10/T10,"")</f>
        <v/>
      </c>
      <c r="W10" s="35">
        <f>SUMIFS('Diário de estudo'!H3:H530,'Diário de estudo'!D3:D530,$A10,'Diário de estudo'!A3:A530,"&gt;="&amp;DATE(2026,11,2),'Diário de estudo'!A3:A530,"&lt;="&amp;DATE(2026,11,8))</f>
        <v/>
      </c>
      <c r="X10" s="35">
        <f>SUMIFS('Diário de estudo'!I3:I530,'Diário de estudo'!D3:D530,$A10,'Diário de estudo'!A3:A530,"&gt;="&amp;DATE(2026,11,2),'Diário de estudo'!A3:A530,"&lt;="&amp;DATE(2026,11,8))</f>
        <v/>
      </c>
      <c r="Y10" s="36">
        <f>IFERROR(X10/W10,"")</f>
        <v/>
      </c>
      <c r="Z10" s="35">
        <f>SUMIFS('Diário de estudo'!H3:H530,'Diário de estudo'!D3:D530,$A10,'Diário de estudo'!A3:A530,"&gt;="&amp;DATE(2026,11,9),'Diário de estudo'!A3:A530,"&lt;="&amp;DATE(2026,11,15))</f>
        <v/>
      </c>
      <c r="AA10" s="35">
        <f>SUMIFS('Diário de estudo'!I3:I530,'Diário de estudo'!D3:D530,$A10,'Diário de estudo'!A3:A530,"&gt;="&amp;DATE(2026,11,9),'Diário de estudo'!A3:A530,"&lt;="&amp;DATE(2026,11,15))</f>
        <v/>
      </c>
      <c r="AB10" s="36">
        <f>IFERROR(AA10/Z10,"")</f>
        <v/>
      </c>
      <c r="AC10" s="35">
        <f>SUMIFS('Diário de estudo'!H3:H530,'Diário de estudo'!D3:D530,$A10,'Diário de estudo'!A3:A530,"&gt;="&amp;DATE(2026,11,16),'Diário de estudo'!A3:A530,"&lt;="&amp;DATE(2026,11,22))</f>
        <v/>
      </c>
      <c r="AD10" s="35">
        <f>SUMIFS('Diário de estudo'!I3:I530,'Diário de estudo'!D3:D530,$A10,'Diário de estudo'!A3:A530,"&gt;="&amp;DATE(2026,11,16),'Diário de estudo'!A3:A530,"&lt;="&amp;DATE(2026,11,22))</f>
        <v/>
      </c>
      <c r="AE10" s="36">
        <f>IFERROR(AD10/AC10,"")</f>
        <v/>
      </c>
      <c r="AF10" s="35">
        <f>SUMIFS('Diário de estudo'!H3:H530,'Diário de estudo'!D3:D530,$A10,'Diário de estudo'!A3:A530,"&gt;="&amp;DATE(2026,11,23),'Diário de estudo'!A3:A530,"&lt;="&amp;DATE(2026,11,29))</f>
        <v/>
      </c>
      <c r="AG10" s="35">
        <f>SUMIFS('Diário de estudo'!I3:I530,'Diário de estudo'!D3:D530,$A10,'Diário de estudo'!A3:A530,"&gt;="&amp;DATE(2026,11,23),'Diário de estudo'!A3:A530,"&lt;="&amp;DATE(2026,11,29))</f>
        <v/>
      </c>
      <c r="AH10" s="36">
        <f>IFERROR(AG10/AF10,"")</f>
        <v/>
      </c>
      <c r="AI10" s="35">
        <f>SUMIFS('Diário de estudo'!H3:H530,'Diário de estudo'!D3:D530,$A10,'Diário de estudo'!A3:A530,"&gt;="&amp;DATE(2026,11,30),'Diário de estudo'!A3:A530,"&lt;="&amp;DATE(2026,12,6))</f>
        <v/>
      </c>
      <c r="AJ10" s="35">
        <f>SUMIFS('Diário de estudo'!I3:I530,'Diário de estudo'!D3:D530,$A10,'Diário de estudo'!A3:A530,"&gt;="&amp;DATE(2026,11,30),'Diário de estudo'!A3:A530,"&lt;="&amp;DATE(2026,12,6))</f>
        <v/>
      </c>
      <c r="AK10" s="36">
        <f>IFERROR(AJ10/AI10,"")</f>
        <v/>
      </c>
      <c r="AL10" s="35">
        <f>SUMIFS('Diário de estudo'!H3:H530,'Diário de estudo'!D3:D530,$A10,'Diário de estudo'!A3:A530,"&gt;="&amp;DATE(2026,12,7),'Diário de estudo'!A3:A530,"&lt;="&amp;DATE(2026,12,13))</f>
        <v/>
      </c>
      <c r="AM10" s="35">
        <f>SUMIFS('Diário de estudo'!I3:I530,'Diário de estudo'!D3:D530,$A10,'Diário de estudo'!A3:A530,"&gt;="&amp;DATE(2026,12,7),'Diário de estudo'!A3:A530,"&lt;="&amp;DATE(2026,12,13))</f>
        <v/>
      </c>
      <c r="AN10" s="36">
        <f>IFERROR(AM10/AL10,"")</f>
        <v/>
      </c>
      <c r="AO10" s="35">
        <f>SUMIFS('Diário de estudo'!H3:H530,'Diário de estudo'!D3:D530,$A10,'Diário de estudo'!A3:A530,"&gt;="&amp;DATE(2026,12,14),'Diário de estudo'!A3:A530,"&lt;="&amp;DATE(2026,12,20))</f>
        <v/>
      </c>
      <c r="AP10" s="35">
        <f>SUMIFS('Diário de estudo'!I3:I530,'Diário de estudo'!D3:D530,$A10,'Diário de estudo'!A3:A530,"&gt;="&amp;DATE(2026,12,14),'Diário de estudo'!A3:A530,"&lt;="&amp;DATE(2026,12,20))</f>
        <v/>
      </c>
      <c r="AQ10" s="36">
        <f>IFERROR(AP10/AO10,"")</f>
        <v/>
      </c>
      <c r="AR10" s="35">
        <f>SUMIFS('Diário de estudo'!H3:H530,'Diário de estudo'!D3:D530,$A10,'Diário de estudo'!A3:A530,"&gt;="&amp;DATE(2026,12,21),'Diário de estudo'!A3:A530,"&lt;="&amp;DATE(2026,12,27))</f>
        <v/>
      </c>
      <c r="AS10" s="35">
        <f>SUMIFS('Diário de estudo'!I3:I530,'Diário de estudo'!D3:D530,$A10,'Diário de estudo'!A3:A530,"&gt;="&amp;DATE(2026,12,21),'Diário de estudo'!A3:A530,"&lt;="&amp;DATE(2026,12,27))</f>
        <v/>
      </c>
      <c r="AT10" s="36">
        <f>IFERROR(AS10/AR10,"")</f>
        <v/>
      </c>
      <c r="AU10" s="35">
        <f>SUMIFS('Diário de estudo'!H3:H530,'Diário de estudo'!D3:D530,$A10,'Diário de estudo'!A3:A530,"&gt;="&amp;DATE(2026,12,28),'Diário de estudo'!A3:A530,"&lt;="&amp;DATE(2027,1,3))</f>
        <v/>
      </c>
      <c r="AV10" s="35">
        <f>SUMIFS('Diário de estudo'!I3:I530,'Diário de estudo'!D3:D530,$A10,'Diário de estudo'!A3:A530,"&gt;="&amp;DATE(2026,12,28),'Diário de estudo'!A3:A530,"&lt;="&amp;DATE(2027,1,3))</f>
        <v/>
      </c>
      <c r="AW10" s="36">
        <f>IFERROR(AV10/AU10,"")</f>
        <v/>
      </c>
    </row>
    <row r="11">
      <c r="A11" s="41" t="inlineStr">
        <is>
          <t>QUALIDADE DE SOFTWARE</t>
        </is>
      </c>
      <c r="B11" s="35">
        <f>SUMIFS('Diário de estudo'!H3:H530,'Diário de estudo'!D3:D530,$A11,'Diário de estudo'!A3:A530,"&gt;="&amp;DATE(2026,9,14),'Diário de estudo'!A3:A530,"&lt;="&amp;DATE(2026,9,20))</f>
        <v/>
      </c>
      <c r="C11" s="35">
        <f>SUMIFS('Diário de estudo'!I3:I530,'Diário de estudo'!D3:D530,$A11,'Diário de estudo'!A3:A530,"&gt;="&amp;DATE(2026,9,14),'Diário de estudo'!A3:A530,"&lt;="&amp;DATE(2026,9,20))</f>
        <v/>
      </c>
      <c r="D11" s="36">
        <f>IFERROR(C11/B11,"")</f>
        <v/>
      </c>
      <c r="E11" s="35">
        <f>SUMIFS('Diário de estudo'!H3:H530,'Diário de estudo'!D3:D530,$A11,'Diário de estudo'!A3:A530,"&gt;="&amp;DATE(2026,9,21),'Diário de estudo'!A3:A530,"&lt;="&amp;DATE(2026,9,27))</f>
        <v/>
      </c>
      <c r="F11" s="35">
        <f>SUMIFS('Diário de estudo'!I3:I530,'Diário de estudo'!D3:D530,$A11,'Diário de estudo'!A3:A530,"&gt;="&amp;DATE(2026,9,21),'Diário de estudo'!A3:A530,"&lt;="&amp;DATE(2026,9,27))</f>
        <v/>
      </c>
      <c r="G11" s="36">
        <f>IFERROR(F11/E11,"")</f>
        <v/>
      </c>
      <c r="H11" s="35">
        <f>SUMIFS('Diário de estudo'!H3:H530,'Diário de estudo'!D3:D530,$A11,'Diário de estudo'!A3:A530,"&gt;="&amp;DATE(2026,9,28),'Diário de estudo'!A3:A530,"&lt;="&amp;DATE(2026,10,4))</f>
        <v/>
      </c>
      <c r="I11" s="35">
        <f>SUMIFS('Diário de estudo'!I3:I530,'Diário de estudo'!D3:D530,$A11,'Diário de estudo'!A3:A530,"&gt;="&amp;DATE(2026,9,28),'Diário de estudo'!A3:A530,"&lt;="&amp;DATE(2026,10,4))</f>
        <v/>
      </c>
      <c r="J11" s="36">
        <f>IFERROR(I11/H11,"")</f>
        <v/>
      </c>
      <c r="K11" s="35">
        <f>SUMIFS('Diário de estudo'!H3:H530,'Diário de estudo'!D3:D530,$A11,'Diário de estudo'!A3:A530,"&gt;="&amp;DATE(2026,10,5),'Diário de estudo'!A3:A530,"&lt;="&amp;DATE(2026,10,11))</f>
        <v/>
      </c>
      <c r="L11" s="35">
        <f>SUMIFS('Diário de estudo'!I3:I530,'Diário de estudo'!D3:D530,$A11,'Diário de estudo'!A3:A530,"&gt;="&amp;DATE(2026,10,5),'Diário de estudo'!A3:A530,"&lt;="&amp;DATE(2026,10,11))</f>
        <v/>
      </c>
      <c r="M11" s="36">
        <f>IFERROR(L11/K11,"")</f>
        <v/>
      </c>
      <c r="N11" s="35">
        <f>SUMIFS('Diário de estudo'!H3:H530,'Diário de estudo'!D3:D530,$A11,'Diário de estudo'!A3:A530,"&gt;="&amp;DATE(2026,10,12),'Diário de estudo'!A3:A530,"&lt;="&amp;DATE(2026,10,18))</f>
        <v/>
      </c>
      <c r="O11" s="35">
        <f>SUMIFS('Diário de estudo'!I3:I530,'Diário de estudo'!D3:D530,$A11,'Diário de estudo'!A3:A530,"&gt;="&amp;DATE(2026,10,12),'Diário de estudo'!A3:A530,"&lt;="&amp;DATE(2026,10,18))</f>
        <v/>
      </c>
      <c r="P11" s="36">
        <f>IFERROR(O11/N11,"")</f>
        <v/>
      </c>
      <c r="Q11" s="35">
        <f>SUMIFS('Diário de estudo'!H3:H530,'Diário de estudo'!D3:D530,$A11,'Diário de estudo'!A3:A530,"&gt;="&amp;DATE(2026,10,19),'Diário de estudo'!A3:A530,"&lt;="&amp;DATE(2026,10,25))</f>
        <v/>
      </c>
      <c r="R11" s="35">
        <f>SUMIFS('Diário de estudo'!I3:I530,'Diário de estudo'!D3:D530,$A11,'Diário de estudo'!A3:A530,"&gt;="&amp;DATE(2026,10,19),'Diário de estudo'!A3:A530,"&lt;="&amp;DATE(2026,10,25))</f>
        <v/>
      </c>
      <c r="S11" s="36">
        <f>IFERROR(R11/Q11,"")</f>
        <v/>
      </c>
      <c r="T11" s="35">
        <f>SUMIFS('Diário de estudo'!H3:H530,'Diário de estudo'!D3:D530,$A11,'Diário de estudo'!A3:A530,"&gt;="&amp;DATE(2026,10,26),'Diário de estudo'!A3:A530,"&lt;="&amp;DATE(2026,11,1))</f>
        <v/>
      </c>
      <c r="U11" s="35">
        <f>SUMIFS('Diário de estudo'!I3:I530,'Diário de estudo'!D3:D530,$A11,'Diário de estudo'!A3:A530,"&gt;="&amp;DATE(2026,10,26),'Diário de estudo'!A3:A530,"&lt;="&amp;DATE(2026,11,1))</f>
        <v/>
      </c>
      <c r="V11" s="36">
        <f>IFERROR(U11/T11,"")</f>
        <v/>
      </c>
      <c r="W11" s="35">
        <f>SUMIFS('Diário de estudo'!H3:H530,'Diário de estudo'!D3:D530,$A11,'Diário de estudo'!A3:A530,"&gt;="&amp;DATE(2026,11,2),'Diário de estudo'!A3:A530,"&lt;="&amp;DATE(2026,11,8))</f>
        <v/>
      </c>
      <c r="X11" s="35">
        <f>SUMIFS('Diário de estudo'!I3:I530,'Diário de estudo'!D3:D530,$A11,'Diário de estudo'!A3:A530,"&gt;="&amp;DATE(2026,11,2),'Diário de estudo'!A3:A530,"&lt;="&amp;DATE(2026,11,8))</f>
        <v/>
      </c>
      <c r="Y11" s="36">
        <f>IFERROR(X11/W11,"")</f>
        <v/>
      </c>
      <c r="Z11" s="35">
        <f>SUMIFS('Diário de estudo'!H3:H530,'Diário de estudo'!D3:D530,$A11,'Diário de estudo'!A3:A530,"&gt;="&amp;DATE(2026,11,9),'Diário de estudo'!A3:A530,"&lt;="&amp;DATE(2026,11,15))</f>
        <v/>
      </c>
      <c r="AA11" s="35">
        <f>SUMIFS('Diário de estudo'!I3:I530,'Diário de estudo'!D3:D530,$A11,'Diário de estudo'!A3:A530,"&gt;="&amp;DATE(2026,11,9),'Diário de estudo'!A3:A530,"&lt;="&amp;DATE(2026,11,15))</f>
        <v/>
      </c>
      <c r="AB11" s="36">
        <f>IFERROR(AA11/Z11,"")</f>
        <v/>
      </c>
      <c r="AC11" s="35">
        <f>SUMIFS('Diário de estudo'!H3:H530,'Diário de estudo'!D3:D530,$A11,'Diário de estudo'!A3:A530,"&gt;="&amp;DATE(2026,11,16),'Diário de estudo'!A3:A530,"&lt;="&amp;DATE(2026,11,22))</f>
        <v/>
      </c>
      <c r="AD11" s="35">
        <f>SUMIFS('Diário de estudo'!I3:I530,'Diário de estudo'!D3:D530,$A11,'Diário de estudo'!A3:A530,"&gt;="&amp;DATE(2026,11,16),'Diário de estudo'!A3:A530,"&lt;="&amp;DATE(2026,11,22))</f>
        <v/>
      </c>
      <c r="AE11" s="36">
        <f>IFERROR(AD11/AC11,"")</f>
        <v/>
      </c>
      <c r="AF11" s="35">
        <f>SUMIFS('Diário de estudo'!H3:H530,'Diário de estudo'!D3:D530,$A11,'Diário de estudo'!A3:A530,"&gt;="&amp;DATE(2026,11,23),'Diário de estudo'!A3:A530,"&lt;="&amp;DATE(2026,11,29))</f>
        <v/>
      </c>
      <c r="AG11" s="35">
        <f>SUMIFS('Diário de estudo'!I3:I530,'Diário de estudo'!D3:D530,$A11,'Diário de estudo'!A3:A530,"&gt;="&amp;DATE(2026,11,23),'Diário de estudo'!A3:A530,"&lt;="&amp;DATE(2026,11,29))</f>
        <v/>
      </c>
      <c r="AH11" s="36">
        <f>IFERROR(AG11/AF11,"")</f>
        <v/>
      </c>
      <c r="AI11" s="35">
        <f>SUMIFS('Diário de estudo'!H3:H530,'Diário de estudo'!D3:D530,$A11,'Diário de estudo'!A3:A530,"&gt;="&amp;DATE(2026,11,30),'Diário de estudo'!A3:A530,"&lt;="&amp;DATE(2026,12,6))</f>
        <v/>
      </c>
      <c r="AJ11" s="35">
        <f>SUMIFS('Diário de estudo'!I3:I530,'Diário de estudo'!D3:D530,$A11,'Diário de estudo'!A3:A530,"&gt;="&amp;DATE(2026,11,30),'Diário de estudo'!A3:A530,"&lt;="&amp;DATE(2026,12,6))</f>
        <v/>
      </c>
      <c r="AK11" s="36">
        <f>IFERROR(AJ11/AI11,"")</f>
        <v/>
      </c>
      <c r="AL11" s="35">
        <f>SUMIFS('Diário de estudo'!H3:H530,'Diário de estudo'!D3:D530,$A11,'Diário de estudo'!A3:A530,"&gt;="&amp;DATE(2026,12,7),'Diário de estudo'!A3:A530,"&lt;="&amp;DATE(2026,12,13))</f>
        <v/>
      </c>
      <c r="AM11" s="35">
        <f>SUMIFS('Diário de estudo'!I3:I530,'Diário de estudo'!D3:D530,$A11,'Diário de estudo'!A3:A530,"&gt;="&amp;DATE(2026,12,7),'Diário de estudo'!A3:A530,"&lt;="&amp;DATE(2026,12,13))</f>
        <v/>
      </c>
      <c r="AN11" s="36">
        <f>IFERROR(AM11/AL11,"")</f>
        <v/>
      </c>
      <c r="AO11" s="35">
        <f>SUMIFS('Diário de estudo'!H3:H530,'Diário de estudo'!D3:D530,$A11,'Diário de estudo'!A3:A530,"&gt;="&amp;DATE(2026,12,14),'Diário de estudo'!A3:A530,"&lt;="&amp;DATE(2026,12,20))</f>
        <v/>
      </c>
      <c r="AP11" s="35">
        <f>SUMIFS('Diário de estudo'!I3:I530,'Diário de estudo'!D3:D530,$A11,'Diário de estudo'!A3:A530,"&gt;="&amp;DATE(2026,12,14),'Diário de estudo'!A3:A530,"&lt;="&amp;DATE(2026,12,20))</f>
        <v/>
      </c>
      <c r="AQ11" s="36">
        <f>IFERROR(AP11/AO11,"")</f>
        <v/>
      </c>
      <c r="AR11" s="35">
        <f>SUMIFS('Diário de estudo'!H3:H530,'Diário de estudo'!D3:D530,$A11,'Diário de estudo'!A3:A530,"&gt;="&amp;DATE(2026,12,21),'Diário de estudo'!A3:A530,"&lt;="&amp;DATE(2026,12,27))</f>
        <v/>
      </c>
      <c r="AS11" s="35">
        <f>SUMIFS('Diário de estudo'!I3:I530,'Diário de estudo'!D3:D530,$A11,'Diário de estudo'!A3:A530,"&gt;="&amp;DATE(2026,12,21),'Diário de estudo'!A3:A530,"&lt;="&amp;DATE(2026,12,27))</f>
        <v/>
      </c>
      <c r="AT11" s="36">
        <f>IFERROR(AS11/AR11,"")</f>
        <v/>
      </c>
      <c r="AU11" s="35">
        <f>SUMIFS('Diário de estudo'!H3:H530,'Diário de estudo'!D3:D530,$A11,'Diário de estudo'!A3:A530,"&gt;="&amp;DATE(2026,12,28),'Diário de estudo'!A3:A530,"&lt;="&amp;DATE(2027,1,3))</f>
        <v/>
      </c>
      <c r="AV11" s="35">
        <f>SUMIFS('Diário de estudo'!I3:I530,'Diário de estudo'!D3:D530,$A11,'Diário de estudo'!A3:A530,"&gt;="&amp;DATE(2026,12,28),'Diário de estudo'!A3:A530,"&lt;="&amp;DATE(2027,1,3))</f>
        <v/>
      </c>
      <c r="AW11" s="36">
        <f>IFERROR(AV11/AU11,"")</f>
        <v/>
      </c>
    </row>
    <row r="12">
      <c r="A12" s="41" t="inlineStr">
        <is>
          <t>ESTRUTURA DE DADOS E ALGORITMOS</t>
        </is>
      </c>
      <c r="B12" s="35">
        <f>SUMIFS('Diário de estudo'!H3:H530,'Diário de estudo'!D3:D530,$A12,'Diário de estudo'!A3:A530,"&gt;="&amp;DATE(2026,9,14),'Diário de estudo'!A3:A530,"&lt;="&amp;DATE(2026,9,20))</f>
        <v/>
      </c>
      <c r="C12" s="35">
        <f>SUMIFS('Diário de estudo'!I3:I530,'Diário de estudo'!D3:D530,$A12,'Diário de estudo'!A3:A530,"&gt;="&amp;DATE(2026,9,14),'Diário de estudo'!A3:A530,"&lt;="&amp;DATE(2026,9,20))</f>
        <v/>
      </c>
      <c r="D12" s="36">
        <f>IFERROR(C12/B12,"")</f>
        <v/>
      </c>
      <c r="E12" s="35">
        <f>SUMIFS('Diário de estudo'!H3:H530,'Diário de estudo'!D3:D530,$A12,'Diário de estudo'!A3:A530,"&gt;="&amp;DATE(2026,9,21),'Diário de estudo'!A3:A530,"&lt;="&amp;DATE(2026,9,27))</f>
        <v/>
      </c>
      <c r="F12" s="35">
        <f>SUMIFS('Diário de estudo'!I3:I530,'Diário de estudo'!D3:D530,$A12,'Diário de estudo'!A3:A530,"&gt;="&amp;DATE(2026,9,21),'Diário de estudo'!A3:A530,"&lt;="&amp;DATE(2026,9,27))</f>
        <v/>
      </c>
      <c r="G12" s="36">
        <f>IFERROR(F12/E12,"")</f>
        <v/>
      </c>
      <c r="H12" s="35">
        <f>SUMIFS('Diário de estudo'!H3:H530,'Diário de estudo'!D3:D530,$A12,'Diário de estudo'!A3:A530,"&gt;="&amp;DATE(2026,9,28),'Diário de estudo'!A3:A530,"&lt;="&amp;DATE(2026,10,4))</f>
        <v/>
      </c>
      <c r="I12" s="35">
        <f>SUMIFS('Diário de estudo'!I3:I530,'Diário de estudo'!D3:D530,$A12,'Diário de estudo'!A3:A530,"&gt;="&amp;DATE(2026,9,28),'Diário de estudo'!A3:A530,"&lt;="&amp;DATE(2026,10,4))</f>
        <v/>
      </c>
      <c r="J12" s="36">
        <f>IFERROR(I12/H12,"")</f>
        <v/>
      </c>
      <c r="K12" s="35">
        <f>SUMIFS('Diário de estudo'!H3:H530,'Diário de estudo'!D3:D530,$A12,'Diário de estudo'!A3:A530,"&gt;="&amp;DATE(2026,10,5),'Diário de estudo'!A3:A530,"&lt;="&amp;DATE(2026,10,11))</f>
        <v/>
      </c>
      <c r="L12" s="35">
        <f>SUMIFS('Diário de estudo'!I3:I530,'Diário de estudo'!D3:D530,$A12,'Diário de estudo'!A3:A530,"&gt;="&amp;DATE(2026,10,5),'Diário de estudo'!A3:A530,"&lt;="&amp;DATE(2026,10,11))</f>
        <v/>
      </c>
      <c r="M12" s="36">
        <f>IFERROR(L12/K12,"")</f>
        <v/>
      </c>
      <c r="N12" s="35">
        <f>SUMIFS('Diário de estudo'!H3:H530,'Diário de estudo'!D3:D530,$A12,'Diário de estudo'!A3:A530,"&gt;="&amp;DATE(2026,10,12),'Diário de estudo'!A3:A530,"&lt;="&amp;DATE(2026,10,18))</f>
        <v/>
      </c>
      <c r="O12" s="35">
        <f>SUMIFS('Diário de estudo'!I3:I530,'Diário de estudo'!D3:D530,$A12,'Diário de estudo'!A3:A530,"&gt;="&amp;DATE(2026,10,12),'Diário de estudo'!A3:A530,"&lt;="&amp;DATE(2026,10,18))</f>
        <v/>
      </c>
      <c r="P12" s="36">
        <f>IFERROR(O12/N12,"")</f>
        <v/>
      </c>
      <c r="Q12" s="35">
        <f>SUMIFS('Diário de estudo'!H3:H530,'Diário de estudo'!D3:D530,$A12,'Diário de estudo'!A3:A530,"&gt;="&amp;DATE(2026,10,19),'Diário de estudo'!A3:A530,"&lt;="&amp;DATE(2026,10,25))</f>
        <v/>
      </c>
      <c r="R12" s="35">
        <f>SUMIFS('Diário de estudo'!I3:I530,'Diário de estudo'!D3:D530,$A12,'Diário de estudo'!A3:A530,"&gt;="&amp;DATE(2026,10,19),'Diário de estudo'!A3:A530,"&lt;="&amp;DATE(2026,10,25))</f>
        <v/>
      </c>
      <c r="S12" s="36">
        <f>IFERROR(R12/Q12,"")</f>
        <v/>
      </c>
      <c r="T12" s="35">
        <f>SUMIFS('Diário de estudo'!H3:H530,'Diário de estudo'!D3:D530,$A12,'Diário de estudo'!A3:A530,"&gt;="&amp;DATE(2026,10,26),'Diário de estudo'!A3:A530,"&lt;="&amp;DATE(2026,11,1))</f>
        <v/>
      </c>
      <c r="U12" s="35">
        <f>SUMIFS('Diário de estudo'!I3:I530,'Diário de estudo'!D3:D530,$A12,'Diário de estudo'!A3:A530,"&gt;="&amp;DATE(2026,10,26),'Diário de estudo'!A3:A530,"&lt;="&amp;DATE(2026,11,1))</f>
        <v/>
      </c>
      <c r="V12" s="36">
        <f>IFERROR(U12/T12,"")</f>
        <v/>
      </c>
      <c r="W12" s="35">
        <f>SUMIFS('Diário de estudo'!H3:H530,'Diário de estudo'!D3:D530,$A12,'Diário de estudo'!A3:A530,"&gt;="&amp;DATE(2026,11,2),'Diário de estudo'!A3:A530,"&lt;="&amp;DATE(2026,11,8))</f>
        <v/>
      </c>
      <c r="X12" s="35">
        <f>SUMIFS('Diário de estudo'!I3:I530,'Diário de estudo'!D3:D530,$A12,'Diário de estudo'!A3:A530,"&gt;="&amp;DATE(2026,11,2),'Diário de estudo'!A3:A530,"&lt;="&amp;DATE(2026,11,8))</f>
        <v/>
      </c>
      <c r="Y12" s="36">
        <f>IFERROR(X12/W12,"")</f>
        <v/>
      </c>
      <c r="Z12" s="35">
        <f>SUMIFS('Diário de estudo'!H3:H530,'Diário de estudo'!D3:D530,$A12,'Diário de estudo'!A3:A530,"&gt;="&amp;DATE(2026,11,9),'Diário de estudo'!A3:A530,"&lt;="&amp;DATE(2026,11,15))</f>
        <v/>
      </c>
      <c r="AA12" s="35">
        <f>SUMIFS('Diário de estudo'!I3:I530,'Diário de estudo'!D3:D530,$A12,'Diário de estudo'!A3:A530,"&gt;="&amp;DATE(2026,11,9),'Diário de estudo'!A3:A530,"&lt;="&amp;DATE(2026,11,15))</f>
        <v/>
      </c>
      <c r="AB12" s="36">
        <f>IFERROR(AA12/Z12,"")</f>
        <v/>
      </c>
      <c r="AC12" s="35">
        <f>SUMIFS('Diário de estudo'!H3:H530,'Diário de estudo'!D3:D530,$A12,'Diário de estudo'!A3:A530,"&gt;="&amp;DATE(2026,11,16),'Diário de estudo'!A3:A530,"&lt;="&amp;DATE(2026,11,22))</f>
        <v/>
      </c>
      <c r="AD12" s="35">
        <f>SUMIFS('Diário de estudo'!I3:I530,'Diário de estudo'!D3:D530,$A12,'Diário de estudo'!A3:A530,"&gt;="&amp;DATE(2026,11,16),'Diário de estudo'!A3:A530,"&lt;="&amp;DATE(2026,11,22))</f>
        <v/>
      </c>
      <c r="AE12" s="36">
        <f>IFERROR(AD12/AC12,"")</f>
        <v/>
      </c>
      <c r="AF12" s="35">
        <f>SUMIFS('Diário de estudo'!H3:H530,'Diário de estudo'!D3:D530,$A12,'Diário de estudo'!A3:A530,"&gt;="&amp;DATE(2026,11,23),'Diário de estudo'!A3:A530,"&lt;="&amp;DATE(2026,11,29))</f>
        <v/>
      </c>
      <c r="AG12" s="35">
        <f>SUMIFS('Diário de estudo'!I3:I530,'Diário de estudo'!D3:D530,$A12,'Diário de estudo'!A3:A530,"&gt;="&amp;DATE(2026,11,23),'Diário de estudo'!A3:A530,"&lt;="&amp;DATE(2026,11,29))</f>
        <v/>
      </c>
      <c r="AH12" s="36">
        <f>IFERROR(AG12/AF12,"")</f>
        <v/>
      </c>
      <c r="AI12" s="35">
        <f>SUMIFS('Diário de estudo'!H3:H530,'Diário de estudo'!D3:D530,$A12,'Diário de estudo'!A3:A530,"&gt;="&amp;DATE(2026,11,30),'Diário de estudo'!A3:A530,"&lt;="&amp;DATE(2026,12,6))</f>
        <v/>
      </c>
      <c r="AJ12" s="35">
        <f>SUMIFS('Diário de estudo'!I3:I530,'Diário de estudo'!D3:D530,$A12,'Diário de estudo'!A3:A530,"&gt;="&amp;DATE(2026,11,30),'Diário de estudo'!A3:A530,"&lt;="&amp;DATE(2026,12,6))</f>
        <v/>
      </c>
      <c r="AK12" s="36">
        <f>IFERROR(AJ12/AI12,"")</f>
        <v/>
      </c>
      <c r="AL12" s="35">
        <f>SUMIFS('Diário de estudo'!H3:H530,'Diário de estudo'!D3:D530,$A12,'Diário de estudo'!A3:A530,"&gt;="&amp;DATE(2026,12,7),'Diário de estudo'!A3:A530,"&lt;="&amp;DATE(2026,12,13))</f>
        <v/>
      </c>
      <c r="AM12" s="35">
        <f>SUMIFS('Diário de estudo'!I3:I530,'Diário de estudo'!D3:D530,$A12,'Diário de estudo'!A3:A530,"&gt;="&amp;DATE(2026,12,7),'Diário de estudo'!A3:A530,"&lt;="&amp;DATE(2026,12,13))</f>
        <v/>
      </c>
      <c r="AN12" s="36">
        <f>IFERROR(AM12/AL12,"")</f>
        <v/>
      </c>
      <c r="AO12" s="35">
        <f>SUMIFS('Diário de estudo'!H3:H530,'Diário de estudo'!D3:D530,$A12,'Diário de estudo'!A3:A530,"&gt;="&amp;DATE(2026,12,14),'Diário de estudo'!A3:A530,"&lt;="&amp;DATE(2026,12,20))</f>
        <v/>
      </c>
      <c r="AP12" s="35">
        <f>SUMIFS('Diário de estudo'!I3:I530,'Diário de estudo'!D3:D530,$A12,'Diário de estudo'!A3:A530,"&gt;="&amp;DATE(2026,12,14),'Diário de estudo'!A3:A530,"&lt;="&amp;DATE(2026,12,20))</f>
        <v/>
      </c>
      <c r="AQ12" s="36">
        <f>IFERROR(AP12/AO12,"")</f>
        <v/>
      </c>
      <c r="AR12" s="35">
        <f>SUMIFS('Diário de estudo'!H3:H530,'Diário de estudo'!D3:D530,$A12,'Diário de estudo'!A3:A530,"&gt;="&amp;DATE(2026,12,21),'Diário de estudo'!A3:A530,"&lt;="&amp;DATE(2026,12,27))</f>
        <v/>
      </c>
      <c r="AS12" s="35">
        <f>SUMIFS('Diário de estudo'!I3:I530,'Diário de estudo'!D3:D530,$A12,'Diário de estudo'!A3:A530,"&gt;="&amp;DATE(2026,12,21),'Diário de estudo'!A3:A530,"&lt;="&amp;DATE(2026,12,27))</f>
        <v/>
      </c>
      <c r="AT12" s="36">
        <f>IFERROR(AS12/AR12,"")</f>
        <v/>
      </c>
      <c r="AU12" s="35">
        <f>SUMIFS('Diário de estudo'!H3:H530,'Diário de estudo'!D3:D530,$A12,'Diário de estudo'!A3:A530,"&gt;="&amp;DATE(2026,12,28),'Diário de estudo'!A3:A530,"&lt;="&amp;DATE(2027,1,3))</f>
        <v/>
      </c>
      <c r="AV12" s="35">
        <f>SUMIFS('Diário de estudo'!I3:I530,'Diário de estudo'!D3:D530,$A12,'Diário de estudo'!A3:A530,"&gt;="&amp;DATE(2026,12,28),'Diário de estudo'!A3:A530,"&lt;="&amp;DATE(2027,1,3))</f>
        <v/>
      </c>
      <c r="AW12" s="36">
        <f>IFERROR(AV12/AU12,"")</f>
        <v/>
      </c>
    </row>
    <row r="13">
      <c r="A13" s="41" t="inlineStr">
        <is>
          <t>ARQUITETURA / BANCO DE DADOS</t>
        </is>
      </c>
      <c r="B13" s="35">
        <f>SUMIFS('Diário de estudo'!H3:H530,'Diário de estudo'!D3:D530,$A13,'Diário de estudo'!A3:A530,"&gt;="&amp;DATE(2026,9,14),'Diário de estudo'!A3:A530,"&lt;="&amp;DATE(2026,9,20))</f>
        <v/>
      </c>
      <c r="C13" s="35">
        <f>SUMIFS('Diário de estudo'!I3:I530,'Diário de estudo'!D3:D530,$A13,'Diário de estudo'!A3:A530,"&gt;="&amp;DATE(2026,9,14),'Diário de estudo'!A3:A530,"&lt;="&amp;DATE(2026,9,20))</f>
        <v/>
      </c>
      <c r="D13" s="36">
        <f>IFERROR(C13/B13,"")</f>
        <v/>
      </c>
      <c r="E13" s="35">
        <f>SUMIFS('Diário de estudo'!H3:H530,'Diário de estudo'!D3:D530,$A13,'Diário de estudo'!A3:A530,"&gt;="&amp;DATE(2026,9,21),'Diário de estudo'!A3:A530,"&lt;="&amp;DATE(2026,9,27))</f>
        <v/>
      </c>
      <c r="F13" s="35">
        <f>SUMIFS('Diário de estudo'!I3:I530,'Diário de estudo'!D3:D530,$A13,'Diário de estudo'!A3:A530,"&gt;="&amp;DATE(2026,9,21),'Diário de estudo'!A3:A530,"&lt;="&amp;DATE(2026,9,27))</f>
        <v/>
      </c>
      <c r="G13" s="36">
        <f>IFERROR(F13/E13,"")</f>
        <v/>
      </c>
      <c r="H13" s="35">
        <f>SUMIFS('Diário de estudo'!H3:H530,'Diário de estudo'!D3:D530,$A13,'Diário de estudo'!A3:A530,"&gt;="&amp;DATE(2026,9,28),'Diário de estudo'!A3:A530,"&lt;="&amp;DATE(2026,10,4))</f>
        <v/>
      </c>
      <c r="I13" s="35">
        <f>SUMIFS('Diário de estudo'!I3:I530,'Diário de estudo'!D3:D530,$A13,'Diário de estudo'!A3:A530,"&gt;="&amp;DATE(2026,9,28),'Diário de estudo'!A3:A530,"&lt;="&amp;DATE(2026,10,4))</f>
        <v/>
      </c>
      <c r="J13" s="36">
        <f>IFERROR(I13/H13,"")</f>
        <v/>
      </c>
      <c r="K13" s="35">
        <f>SUMIFS('Diário de estudo'!H3:H530,'Diário de estudo'!D3:D530,$A13,'Diário de estudo'!A3:A530,"&gt;="&amp;DATE(2026,10,5),'Diário de estudo'!A3:A530,"&lt;="&amp;DATE(2026,10,11))</f>
        <v/>
      </c>
      <c r="L13" s="35">
        <f>SUMIFS('Diário de estudo'!I3:I530,'Diário de estudo'!D3:D530,$A13,'Diário de estudo'!A3:A530,"&gt;="&amp;DATE(2026,10,5),'Diário de estudo'!A3:A530,"&lt;="&amp;DATE(2026,10,11))</f>
        <v/>
      </c>
      <c r="M13" s="36">
        <f>IFERROR(L13/K13,"")</f>
        <v/>
      </c>
      <c r="N13" s="35">
        <f>SUMIFS('Diário de estudo'!H3:H530,'Diário de estudo'!D3:D530,$A13,'Diário de estudo'!A3:A530,"&gt;="&amp;DATE(2026,10,12),'Diário de estudo'!A3:A530,"&lt;="&amp;DATE(2026,10,18))</f>
        <v/>
      </c>
      <c r="O13" s="35">
        <f>SUMIFS('Diário de estudo'!I3:I530,'Diário de estudo'!D3:D530,$A13,'Diário de estudo'!A3:A530,"&gt;="&amp;DATE(2026,10,12),'Diário de estudo'!A3:A530,"&lt;="&amp;DATE(2026,10,18))</f>
        <v/>
      </c>
      <c r="P13" s="36">
        <f>IFERROR(O13/N13,"")</f>
        <v/>
      </c>
      <c r="Q13" s="35">
        <f>SUMIFS('Diário de estudo'!H3:H530,'Diário de estudo'!D3:D530,$A13,'Diário de estudo'!A3:A530,"&gt;="&amp;DATE(2026,10,19),'Diário de estudo'!A3:A530,"&lt;="&amp;DATE(2026,10,25))</f>
        <v/>
      </c>
      <c r="R13" s="35">
        <f>SUMIFS('Diário de estudo'!I3:I530,'Diário de estudo'!D3:D530,$A13,'Diário de estudo'!A3:A530,"&gt;="&amp;DATE(2026,10,19),'Diário de estudo'!A3:A530,"&lt;="&amp;DATE(2026,10,25))</f>
        <v/>
      </c>
      <c r="S13" s="36">
        <f>IFERROR(R13/Q13,"")</f>
        <v/>
      </c>
      <c r="T13" s="35">
        <f>SUMIFS('Diário de estudo'!H3:H530,'Diário de estudo'!D3:D530,$A13,'Diário de estudo'!A3:A530,"&gt;="&amp;DATE(2026,10,26),'Diário de estudo'!A3:A530,"&lt;="&amp;DATE(2026,11,1))</f>
        <v/>
      </c>
      <c r="U13" s="35">
        <f>SUMIFS('Diário de estudo'!I3:I530,'Diário de estudo'!D3:D530,$A13,'Diário de estudo'!A3:A530,"&gt;="&amp;DATE(2026,10,26),'Diário de estudo'!A3:A530,"&lt;="&amp;DATE(2026,11,1))</f>
        <v/>
      </c>
      <c r="V13" s="36">
        <f>IFERROR(U13/T13,"")</f>
        <v/>
      </c>
      <c r="W13" s="35">
        <f>SUMIFS('Diário de estudo'!H3:H530,'Diário de estudo'!D3:D530,$A13,'Diário de estudo'!A3:A530,"&gt;="&amp;DATE(2026,11,2),'Diário de estudo'!A3:A530,"&lt;="&amp;DATE(2026,11,8))</f>
        <v/>
      </c>
      <c r="X13" s="35">
        <f>SUMIFS('Diário de estudo'!I3:I530,'Diário de estudo'!D3:D530,$A13,'Diário de estudo'!A3:A530,"&gt;="&amp;DATE(2026,11,2),'Diário de estudo'!A3:A530,"&lt;="&amp;DATE(2026,11,8))</f>
        <v/>
      </c>
      <c r="Y13" s="36">
        <f>IFERROR(X13/W13,"")</f>
        <v/>
      </c>
      <c r="Z13" s="35">
        <f>SUMIFS('Diário de estudo'!H3:H530,'Diário de estudo'!D3:D530,$A13,'Diário de estudo'!A3:A530,"&gt;="&amp;DATE(2026,11,9),'Diário de estudo'!A3:A530,"&lt;="&amp;DATE(2026,11,15))</f>
        <v/>
      </c>
      <c r="AA13" s="35">
        <f>SUMIFS('Diário de estudo'!I3:I530,'Diário de estudo'!D3:D530,$A13,'Diário de estudo'!A3:A530,"&gt;="&amp;DATE(2026,11,9),'Diário de estudo'!A3:A530,"&lt;="&amp;DATE(2026,11,15))</f>
        <v/>
      </c>
      <c r="AB13" s="36">
        <f>IFERROR(AA13/Z13,"")</f>
        <v/>
      </c>
      <c r="AC13" s="35">
        <f>SUMIFS('Diário de estudo'!H3:H530,'Diário de estudo'!D3:D530,$A13,'Diário de estudo'!A3:A530,"&gt;="&amp;DATE(2026,11,16),'Diário de estudo'!A3:A530,"&lt;="&amp;DATE(2026,11,22))</f>
        <v/>
      </c>
      <c r="AD13" s="35">
        <f>SUMIFS('Diário de estudo'!I3:I530,'Diário de estudo'!D3:D530,$A13,'Diário de estudo'!A3:A530,"&gt;="&amp;DATE(2026,11,16),'Diário de estudo'!A3:A530,"&lt;="&amp;DATE(2026,11,22))</f>
        <v/>
      </c>
      <c r="AE13" s="36">
        <f>IFERROR(AD13/AC13,"")</f>
        <v/>
      </c>
      <c r="AF13" s="35">
        <f>SUMIFS('Diário de estudo'!H3:H530,'Diário de estudo'!D3:D530,$A13,'Diário de estudo'!A3:A530,"&gt;="&amp;DATE(2026,11,23),'Diário de estudo'!A3:A530,"&lt;="&amp;DATE(2026,11,29))</f>
        <v/>
      </c>
      <c r="AG13" s="35">
        <f>SUMIFS('Diário de estudo'!I3:I530,'Diário de estudo'!D3:D530,$A13,'Diário de estudo'!A3:A530,"&gt;="&amp;DATE(2026,11,23),'Diário de estudo'!A3:A530,"&lt;="&amp;DATE(2026,11,29))</f>
        <v/>
      </c>
      <c r="AH13" s="36">
        <f>IFERROR(AG13/AF13,"")</f>
        <v/>
      </c>
      <c r="AI13" s="35">
        <f>SUMIFS('Diário de estudo'!H3:H530,'Diário de estudo'!D3:D530,$A13,'Diário de estudo'!A3:A530,"&gt;="&amp;DATE(2026,11,30),'Diário de estudo'!A3:A530,"&lt;="&amp;DATE(2026,12,6))</f>
        <v/>
      </c>
      <c r="AJ13" s="35">
        <f>SUMIFS('Diário de estudo'!I3:I530,'Diário de estudo'!D3:D530,$A13,'Diário de estudo'!A3:A530,"&gt;="&amp;DATE(2026,11,30),'Diário de estudo'!A3:A530,"&lt;="&amp;DATE(2026,12,6))</f>
        <v/>
      </c>
      <c r="AK13" s="36">
        <f>IFERROR(AJ13/AI13,"")</f>
        <v/>
      </c>
      <c r="AL13" s="35">
        <f>SUMIFS('Diário de estudo'!H3:H530,'Diário de estudo'!D3:D530,$A13,'Diário de estudo'!A3:A530,"&gt;="&amp;DATE(2026,12,7),'Diário de estudo'!A3:A530,"&lt;="&amp;DATE(2026,12,13))</f>
        <v/>
      </c>
      <c r="AM13" s="35">
        <f>SUMIFS('Diário de estudo'!I3:I530,'Diário de estudo'!D3:D530,$A13,'Diário de estudo'!A3:A530,"&gt;="&amp;DATE(2026,12,7),'Diário de estudo'!A3:A530,"&lt;="&amp;DATE(2026,12,13))</f>
        <v/>
      </c>
      <c r="AN13" s="36">
        <f>IFERROR(AM13/AL13,"")</f>
        <v/>
      </c>
      <c r="AO13" s="35">
        <f>SUMIFS('Diário de estudo'!H3:H530,'Diário de estudo'!D3:D530,$A13,'Diário de estudo'!A3:A530,"&gt;="&amp;DATE(2026,12,14),'Diário de estudo'!A3:A530,"&lt;="&amp;DATE(2026,12,20))</f>
        <v/>
      </c>
      <c r="AP13" s="35">
        <f>SUMIFS('Diário de estudo'!I3:I530,'Diário de estudo'!D3:D530,$A13,'Diário de estudo'!A3:A530,"&gt;="&amp;DATE(2026,12,14),'Diário de estudo'!A3:A530,"&lt;="&amp;DATE(2026,12,20))</f>
        <v/>
      </c>
      <c r="AQ13" s="36">
        <f>IFERROR(AP13/AO13,"")</f>
        <v/>
      </c>
      <c r="AR13" s="35">
        <f>SUMIFS('Diário de estudo'!H3:H530,'Diário de estudo'!D3:D530,$A13,'Diário de estudo'!A3:A530,"&gt;="&amp;DATE(2026,12,21),'Diário de estudo'!A3:A530,"&lt;="&amp;DATE(2026,12,27))</f>
        <v/>
      </c>
      <c r="AS13" s="35">
        <f>SUMIFS('Diário de estudo'!I3:I530,'Diário de estudo'!D3:D530,$A13,'Diário de estudo'!A3:A530,"&gt;="&amp;DATE(2026,12,21),'Diário de estudo'!A3:A530,"&lt;="&amp;DATE(2026,12,27))</f>
        <v/>
      </c>
      <c r="AT13" s="36">
        <f>IFERROR(AS13/AR13,"")</f>
        <v/>
      </c>
      <c r="AU13" s="35">
        <f>SUMIFS('Diário de estudo'!H3:H530,'Diário de estudo'!D3:D530,$A13,'Diário de estudo'!A3:A530,"&gt;="&amp;DATE(2026,12,28),'Diário de estudo'!A3:A530,"&lt;="&amp;DATE(2027,1,3))</f>
        <v/>
      </c>
      <c r="AV13" s="35">
        <f>SUMIFS('Diário de estudo'!I3:I530,'Diário de estudo'!D3:D530,$A13,'Diário de estudo'!A3:A530,"&gt;="&amp;DATE(2026,12,28),'Diário de estudo'!A3:A530,"&lt;="&amp;DATE(2027,1,3))</f>
        <v/>
      </c>
      <c r="AW13" s="36">
        <f>IFERROR(AV13/AU13,"")</f>
        <v/>
      </c>
    </row>
    <row r="14">
      <c r="A14" s="41" t="inlineStr">
        <is>
          <t>SEGURANÇA DA INFORMAÇÃO</t>
        </is>
      </c>
      <c r="B14" s="35">
        <f>SUMIFS('Diário de estudo'!H3:H530,'Diário de estudo'!D3:D530,$A14,'Diário de estudo'!A3:A530,"&gt;="&amp;DATE(2026,9,14),'Diário de estudo'!A3:A530,"&lt;="&amp;DATE(2026,9,20))</f>
        <v/>
      </c>
      <c r="C14" s="35">
        <f>SUMIFS('Diário de estudo'!I3:I530,'Diário de estudo'!D3:D530,$A14,'Diário de estudo'!A3:A530,"&gt;="&amp;DATE(2026,9,14),'Diário de estudo'!A3:A530,"&lt;="&amp;DATE(2026,9,20))</f>
        <v/>
      </c>
      <c r="D14" s="36">
        <f>IFERROR(C14/B14,"")</f>
        <v/>
      </c>
      <c r="E14" s="35">
        <f>SUMIFS('Diário de estudo'!H3:H530,'Diário de estudo'!D3:D530,$A14,'Diário de estudo'!A3:A530,"&gt;="&amp;DATE(2026,9,21),'Diário de estudo'!A3:A530,"&lt;="&amp;DATE(2026,9,27))</f>
        <v/>
      </c>
      <c r="F14" s="35">
        <f>SUMIFS('Diário de estudo'!I3:I530,'Diário de estudo'!D3:D530,$A14,'Diário de estudo'!A3:A530,"&gt;="&amp;DATE(2026,9,21),'Diário de estudo'!A3:A530,"&lt;="&amp;DATE(2026,9,27))</f>
        <v/>
      </c>
      <c r="G14" s="36">
        <f>IFERROR(F14/E14,"")</f>
        <v/>
      </c>
      <c r="H14" s="35">
        <f>SUMIFS('Diário de estudo'!H3:H530,'Diário de estudo'!D3:D530,$A14,'Diário de estudo'!A3:A530,"&gt;="&amp;DATE(2026,9,28),'Diário de estudo'!A3:A530,"&lt;="&amp;DATE(2026,10,4))</f>
        <v/>
      </c>
      <c r="I14" s="35">
        <f>SUMIFS('Diário de estudo'!I3:I530,'Diário de estudo'!D3:D530,$A14,'Diário de estudo'!A3:A530,"&gt;="&amp;DATE(2026,9,28),'Diário de estudo'!A3:A530,"&lt;="&amp;DATE(2026,10,4))</f>
        <v/>
      </c>
      <c r="J14" s="36">
        <f>IFERROR(I14/H14,"")</f>
        <v/>
      </c>
      <c r="K14" s="35">
        <f>SUMIFS('Diário de estudo'!H3:H530,'Diário de estudo'!D3:D530,$A14,'Diário de estudo'!A3:A530,"&gt;="&amp;DATE(2026,10,5),'Diário de estudo'!A3:A530,"&lt;="&amp;DATE(2026,10,11))</f>
        <v/>
      </c>
      <c r="L14" s="35">
        <f>SUMIFS('Diário de estudo'!I3:I530,'Diário de estudo'!D3:D530,$A14,'Diário de estudo'!A3:A530,"&gt;="&amp;DATE(2026,10,5),'Diário de estudo'!A3:A530,"&lt;="&amp;DATE(2026,10,11))</f>
        <v/>
      </c>
      <c r="M14" s="36">
        <f>IFERROR(L14/K14,"")</f>
        <v/>
      </c>
      <c r="N14" s="35">
        <f>SUMIFS('Diário de estudo'!H3:H530,'Diário de estudo'!D3:D530,$A14,'Diário de estudo'!A3:A530,"&gt;="&amp;DATE(2026,10,12),'Diário de estudo'!A3:A530,"&lt;="&amp;DATE(2026,10,18))</f>
        <v/>
      </c>
      <c r="O14" s="35">
        <f>SUMIFS('Diário de estudo'!I3:I530,'Diário de estudo'!D3:D530,$A14,'Diário de estudo'!A3:A530,"&gt;="&amp;DATE(2026,10,12),'Diário de estudo'!A3:A530,"&lt;="&amp;DATE(2026,10,18))</f>
        <v/>
      </c>
      <c r="P14" s="36">
        <f>IFERROR(O14/N14,"")</f>
        <v/>
      </c>
      <c r="Q14" s="35">
        <f>SUMIFS('Diário de estudo'!H3:H530,'Diário de estudo'!D3:D530,$A14,'Diário de estudo'!A3:A530,"&gt;="&amp;DATE(2026,10,19),'Diário de estudo'!A3:A530,"&lt;="&amp;DATE(2026,10,25))</f>
        <v/>
      </c>
      <c r="R14" s="35">
        <f>SUMIFS('Diário de estudo'!I3:I530,'Diário de estudo'!D3:D530,$A14,'Diário de estudo'!A3:A530,"&gt;="&amp;DATE(2026,10,19),'Diário de estudo'!A3:A530,"&lt;="&amp;DATE(2026,10,25))</f>
        <v/>
      </c>
      <c r="S14" s="36">
        <f>IFERROR(R14/Q14,"")</f>
        <v/>
      </c>
      <c r="T14" s="35">
        <f>SUMIFS('Diário de estudo'!H3:H530,'Diário de estudo'!D3:D530,$A14,'Diário de estudo'!A3:A530,"&gt;="&amp;DATE(2026,10,26),'Diário de estudo'!A3:A530,"&lt;="&amp;DATE(2026,11,1))</f>
        <v/>
      </c>
      <c r="U14" s="35">
        <f>SUMIFS('Diário de estudo'!I3:I530,'Diário de estudo'!D3:D530,$A14,'Diário de estudo'!A3:A530,"&gt;="&amp;DATE(2026,10,26),'Diário de estudo'!A3:A530,"&lt;="&amp;DATE(2026,11,1))</f>
        <v/>
      </c>
      <c r="V14" s="36">
        <f>IFERROR(U14/T14,"")</f>
        <v/>
      </c>
      <c r="W14" s="35">
        <f>SUMIFS('Diário de estudo'!H3:H530,'Diário de estudo'!D3:D530,$A14,'Diário de estudo'!A3:A530,"&gt;="&amp;DATE(2026,11,2),'Diário de estudo'!A3:A530,"&lt;="&amp;DATE(2026,11,8))</f>
        <v/>
      </c>
      <c r="X14" s="35">
        <f>SUMIFS('Diário de estudo'!I3:I530,'Diário de estudo'!D3:D530,$A14,'Diário de estudo'!A3:A530,"&gt;="&amp;DATE(2026,11,2),'Diário de estudo'!A3:A530,"&lt;="&amp;DATE(2026,11,8))</f>
        <v/>
      </c>
      <c r="Y14" s="36">
        <f>IFERROR(X14/W14,"")</f>
        <v/>
      </c>
      <c r="Z14" s="35">
        <f>SUMIFS('Diário de estudo'!H3:H530,'Diário de estudo'!D3:D530,$A14,'Diário de estudo'!A3:A530,"&gt;="&amp;DATE(2026,11,9),'Diário de estudo'!A3:A530,"&lt;="&amp;DATE(2026,11,15))</f>
        <v/>
      </c>
      <c r="AA14" s="35">
        <f>SUMIFS('Diário de estudo'!I3:I530,'Diário de estudo'!D3:D530,$A14,'Diário de estudo'!A3:A530,"&gt;="&amp;DATE(2026,11,9),'Diário de estudo'!A3:A530,"&lt;="&amp;DATE(2026,11,15))</f>
        <v/>
      </c>
      <c r="AB14" s="36">
        <f>IFERROR(AA14/Z14,"")</f>
        <v/>
      </c>
      <c r="AC14" s="35">
        <f>SUMIFS('Diário de estudo'!H3:H530,'Diário de estudo'!D3:D530,$A14,'Diário de estudo'!A3:A530,"&gt;="&amp;DATE(2026,11,16),'Diário de estudo'!A3:A530,"&lt;="&amp;DATE(2026,11,22))</f>
        <v/>
      </c>
      <c r="AD14" s="35">
        <f>SUMIFS('Diário de estudo'!I3:I530,'Diário de estudo'!D3:D530,$A14,'Diário de estudo'!A3:A530,"&gt;="&amp;DATE(2026,11,16),'Diário de estudo'!A3:A530,"&lt;="&amp;DATE(2026,11,22))</f>
        <v/>
      </c>
      <c r="AE14" s="36">
        <f>IFERROR(AD14/AC14,"")</f>
        <v/>
      </c>
      <c r="AF14" s="35">
        <f>SUMIFS('Diário de estudo'!H3:H530,'Diário de estudo'!D3:D530,$A14,'Diário de estudo'!A3:A530,"&gt;="&amp;DATE(2026,11,23),'Diário de estudo'!A3:A530,"&lt;="&amp;DATE(2026,11,29))</f>
        <v/>
      </c>
      <c r="AG14" s="35">
        <f>SUMIFS('Diário de estudo'!I3:I530,'Diário de estudo'!D3:D530,$A14,'Diário de estudo'!A3:A530,"&gt;="&amp;DATE(2026,11,23),'Diário de estudo'!A3:A530,"&lt;="&amp;DATE(2026,11,29))</f>
        <v/>
      </c>
      <c r="AH14" s="36">
        <f>IFERROR(AG14/AF14,"")</f>
        <v/>
      </c>
      <c r="AI14" s="35">
        <f>SUMIFS('Diário de estudo'!H3:H530,'Diário de estudo'!D3:D530,$A14,'Diário de estudo'!A3:A530,"&gt;="&amp;DATE(2026,11,30),'Diário de estudo'!A3:A530,"&lt;="&amp;DATE(2026,12,6))</f>
        <v/>
      </c>
      <c r="AJ14" s="35">
        <f>SUMIFS('Diário de estudo'!I3:I530,'Diário de estudo'!D3:D530,$A14,'Diário de estudo'!A3:A530,"&gt;="&amp;DATE(2026,11,30),'Diário de estudo'!A3:A530,"&lt;="&amp;DATE(2026,12,6))</f>
        <v/>
      </c>
      <c r="AK14" s="36">
        <f>IFERROR(AJ14/AI14,"")</f>
        <v/>
      </c>
      <c r="AL14" s="35">
        <f>SUMIFS('Diário de estudo'!H3:H530,'Diário de estudo'!D3:D530,$A14,'Diário de estudo'!A3:A530,"&gt;="&amp;DATE(2026,12,7),'Diário de estudo'!A3:A530,"&lt;="&amp;DATE(2026,12,13))</f>
        <v/>
      </c>
      <c r="AM14" s="35">
        <f>SUMIFS('Diário de estudo'!I3:I530,'Diário de estudo'!D3:D530,$A14,'Diário de estudo'!A3:A530,"&gt;="&amp;DATE(2026,12,7),'Diário de estudo'!A3:A530,"&lt;="&amp;DATE(2026,12,13))</f>
        <v/>
      </c>
      <c r="AN14" s="36">
        <f>IFERROR(AM14/AL14,"")</f>
        <v/>
      </c>
      <c r="AO14" s="35">
        <f>SUMIFS('Diário de estudo'!H3:H530,'Diário de estudo'!D3:D530,$A14,'Diário de estudo'!A3:A530,"&gt;="&amp;DATE(2026,12,14),'Diário de estudo'!A3:A530,"&lt;="&amp;DATE(2026,12,20))</f>
        <v/>
      </c>
      <c r="AP14" s="35">
        <f>SUMIFS('Diário de estudo'!I3:I530,'Diário de estudo'!D3:D530,$A14,'Diário de estudo'!A3:A530,"&gt;="&amp;DATE(2026,12,14),'Diário de estudo'!A3:A530,"&lt;="&amp;DATE(2026,12,20))</f>
        <v/>
      </c>
      <c r="AQ14" s="36">
        <f>IFERROR(AP14/AO14,"")</f>
        <v/>
      </c>
      <c r="AR14" s="35">
        <f>SUMIFS('Diário de estudo'!H3:H530,'Diário de estudo'!D3:D530,$A14,'Diário de estudo'!A3:A530,"&gt;="&amp;DATE(2026,12,21),'Diário de estudo'!A3:A530,"&lt;="&amp;DATE(2026,12,27))</f>
        <v/>
      </c>
      <c r="AS14" s="35">
        <f>SUMIFS('Diário de estudo'!I3:I530,'Diário de estudo'!D3:D530,$A14,'Diário de estudo'!A3:A530,"&gt;="&amp;DATE(2026,12,21),'Diário de estudo'!A3:A530,"&lt;="&amp;DATE(2026,12,27))</f>
        <v/>
      </c>
      <c r="AT14" s="36">
        <f>IFERROR(AS14/AR14,"")</f>
        <v/>
      </c>
      <c r="AU14" s="35">
        <f>SUMIFS('Diário de estudo'!H3:H530,'Diário de estudo'!D3:D530,$A14,'Diário de estudo'!A3:A530,"&gt;="&amp;DATE(2026,12,28),'Diário de estudo'!A3:A530,"&lt;="&amp;DATE(2027,1,3))</f>
        <v/>
      </c>
      <c r="AV14" s="35">
        <f>SUMIFS('Diário de estudo'!I3:I530,'Diário de estudo'!D3:D530,$A14,'Diário de estudo'!A3:A530,"&gt;="&amp;DATE(2026,12,28),'Diário de estudo'!A3:A530,"&lt;="&amp;DATE(2027,1,3))</f>
        <v/>
      </c>
      <c r="AW14" s="36">
        <f>IFERROR(AV14/AU14,"")</f>
        <v/>
      </c>
    </row>
    <row r="15">
      <c r="A15" s="42" t="inlineStr">
        <is>
          <t>TOTAL</t>
        </is>
      </c>
      <c r="B15" s="43">
        <f>SUM(B4:B14)</f>
        <v/>
      </c>
      <c r="C15" s="43">
        <f>SUM(C4:C14)</f>
        <v/>
      </c>
      <c r="D15" s="44">
        <f>IFERROR(C15/B15,"")</f>
        <v/>
      </c>
      <c r="E15" s="43">
        <f>SUM(E4:E14)</f>
        <v/>
      </c>
      <c r="F15" s="43">
        <f>SUM(F4:F14)</f>
        <v/>
      </c>
      <c r="G15" s="44">
        <f>IFERROR(F15/E15,"")</f>
        <v/>
      </c>
      <c r="H15" s="43">
        <f>SUM(H4:H14)</f>
        <v/>
      </c>
      <c r="I15" s="43">
        <f>SUM(I4:I14)</f>
        <v/>
      </c>
      <c r="J15" s="44">
        <f>IFERROR(I15/H15,"")</f>
        <v/>
      </c>
      <c r="K15" s="43">
        <f>SUM(K4:K14)</f>
        <v/>
      </c>
      <c r="L15" s="43">
        <f>SUM(L4:L14)</f>
        <v/>
      </c>
      <c r="M15" s="44">
        <f>IFERROR(L15/K15,"")</f>
        <v/>
      </c>
      <c r="N15" s="43">
        <f>SUM(N4:N14)</f>
        <v/>
      </c>
      <c r="O15" s="43">
        <f>SUM(O4:O14)</f>
        <v/>
      </c>
      <c r="P15" s="44">
        <f>IFERROR(O15/N15,"")</f>
        <v/>
      </c>
      <c r="Q15" s="43">
        <f>SUM(Q4:Q14)</f>
        <v/>
      </c>
      <c r="R15" s="43">
        <f>SUM(R4:R14)</f>
        <v/>
      </c>
      <c r="S15" s="44">
        <f>IFERROR(R15/Q15,"")</f>
        <v/>
      </c>
      <c r="T15" s="43">
        <f>SUM(T4:T14)</f>
        <v/>
      </c>
      <c r="U15" s="43">
        <f>SUM(U4:U14)</f>
        <v/>
      </c>
      <c r="V15" s="44">
        <f>IFERROR(U15/T15,"")</f>
        <v/>
      </c>
      <c r="W15" s="43">
        <f>SUM(W4:W14)</f>
        <v/>
      </c>
      <c r="X15" s="43">
        <f>SUM(X4:X14)</f>
        <v/>
      </c>
      <c r="Y15" s="44">
        <f>IFERROR(X15/W15,"")</f>
        <v/>
      </c>
      <c r="Z15" s="43">
        <f>SUM(Z4:Z14)</f>
        <v/>
      </c>
      <c r="AA15" s="43">
        <f>SUM(AA4:AA14)</f>
        <v/>
      </c>
      <c r="AB15" s="44">
        <f>IFERROR(AA15/Z15,"")</f>
        <v/>
      </c>
      <c r="AC15" s="43">
        <f>SUM(AC4:AC14)</f>
        <v/>
      </c>
      <c r="AD15" s="43">
        <f>SUM(AD4:AD14)</f>
        <v/>
      </c>
      <c r="AE15" s="44">
        <f>IFERROR(AD15/AC15,"")</f>
        <v/>
      </c>
      <c r="AF15" s="43">
        <f>SUM(AF4:AF14)</f>
        <v/>
      </c>
      <c r="AG15" s="43">
        <f>SUM(AG4:AG14)</f>
        <v/>
      </c>
      <c r="AH15" s="44">
        <f>IFERROR(AG15/AF15,"")</f>
        <v/>
      </c>
      <c r="AI15" s="43">
        <f>SUM(AI4:AI14)</f>
        <v/>
      </c>
      <c r="AJ15" s="43">
        <f>SUM(AJ4:AJ14)</f>
        <v/>
      </c>
      <c r="AK15" s="44">
        <f>IFERROR(AJ15/AI15,"")</f>
        <v/>
      </c>
      <c r="AL15" s="43">
        <f>SUM(AL4:AL14)</f>
        <v/>
      </c>
      <c r="AM15" s="43">
        <f>SUM(AM4:AM14)</f>
        <v/>
      </c>
      <c r="AN15" s="44">
        <f>IFERROR(AM15/AL15,"")</f>
        <v/>
      </c>
      <c r="AO15" s="43">
        <f>SUM(AO4:AO14)</f>
        <v/>
      </c>
      <c r="AP15" s="43">
        <f>SUM(AP4:AP14)</f>
        <v/>
      </c>
      <c r="AQ15" s="44">
        <f>IFERROR(AP15/AO15,"")</f>
        <v/>
      </c>
      <c r="AR15" s="43">
        <f>SUM(AR4:AR14)</f>
        <v/>
      </c>
      <c r="AS15" s="43">
        <f>SUM(AS4:AS14)</f>
        <v/>
      </c>
      <c r="AT15" s="44">
        <f>IFERROR(AS15/AR15,"")</f>
        <v/>
      </c>
      <c r="AU15" s="43">
        <f>SUM(AU4:AU14)</f>
        <v/>
      </c>
      <c r="AV15" s="43">
        <f>SUM(AV4:AV14)</f>
        <v/>
      </c>
      <c r="AW15" s="44">
        <f>IFERROR(AV15/AU15,"")</f>
        <v/>
      </c>
    </row>
  </sheetData>
  <mergeCells count="18">
    <mergeCell ref="T2:V2"/>
    <mergeCell ref="A1:AW1"/>
    <mergeCell ref="Z2:AB2"/>
    <mergeCell ref="E2:G2"/>
    <mergeCell ref="K2:M2"/>
    <mergeCell ref="AI2:AK2"/>
    <mergeCell ref="N2:P2"/>
    <mergeCell ref="AC2:AE2"/>
    <mergeCell ref="AL2:AN2"/>
    <mergeCell ref="AF2:AH2"/>
    <mergeCell ref="AO2:AQ2"/>
    <mergeCell ref="AU2:AW2"/>
    <mergeCell ref="AR2:AT2"/>
    <mergeCell ref="A2:A3"/>
    <mergeCell ref="H2:J2"/>
    <mergeCell ref="B2:D2"/>
    <mergeCell ref="Q2:S2"/>
    <mergeCell ref="W2:Y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24" customHeight="1">
      <c r="A1" s="1" t="inlineStr">
        <is>
          <t>GRADE SEMANAL DE REFERÊNCIA — 18h/semana (o que estudar em cada dia, ver 'Diário de estudo' p/ datas exatas)</t>
        </is>
      </c>
    </row>
    <row r="2">
      <c r="A2" s="39" t="inlineStr">
        <is>
          <t>BLOCO</t>
        </is>
      </c>
      <c r="B2" s="39" t="inlineStr">
        <is>
          <t>Segunda</t>
        </is>
      </c>
      <c r="C2" s="39" t="inlineStr">
        <is>
          <t>Terça</t>
        </is>
      </c>
      <c r="D2" s="39" t="inlineStr">
        <is>
          <t>Quarta</t>
        </is>
      </c>
      <c r="E2" s="39" t="inlineStr">
        <is>
          <t>Quinta</t>
        </is>
      </c>
      <c r="F2" s="39" t="inlineStr">
        <is>
          <t>Sexta</t>
        </is>
      </c>
      <c r="G2" s="39" t="inlineStr">
        <is>
          <t>Sábado</t>
        </is>
      </c>
      <c r="H2" s="39" t="inlineStr">
        <is>
          <t>Domingo</t>
        </is>
      </c>
    </row>
    <row r="3" ht="48" customHeight="1">
      <c r="A3" s="38" t="inlineStr">
        <is>
          <t>Bloco 1 (2h)</t>
        </is>
      </c>
      <c r="B3" s="45" t="inlineStr">
        <is>
          <t>ARQUITETURA DE SOFTWARE
Padrão MVC; Microsserviços; Arquitetura orientada a eventos</t>
        </is>
      </c>
    </row>
    <row r="4" ht="48" customHeight="1">
      <c r="A4" s="38" t="inlineStr">
        <is>
          <t>Bloco 1 (2h)</t>
        </is>
      </c>
      <c r="C4" s="46" t="inlineStr">
        <is>
          <t>LINGUAGENS DE PROGRAMAÇÃO
Orientação a Objetos: pilares e características estruturais</t>
        </is>
      </c>
    </row>
    <row r="5" ht="48" customHeight="1">
      <c r="A5" s="38" t="inlineStr">
        <is>
          <t>Bloco 1 (2h)</t>
        </is>
      </c>
      <c r="D5" s="47" t="inlineStr">
        <is>
          <t>QUALIDADE DE SOFTWARE
Garantia da qualidade e métricas de código</t>
        </is>
      </c>
    </row>
    <row r="6" ht="48" customHeight="1">
      <c r="A6" s="38" t="inlineStr">
        <is>
          <t>Bloco 1 (2h)</t>
        </is>
      </c>
      <c r="E6" s="16" t="inlineStr">
        <is>
          <t>ESTRUTURA DE DADOS E ALGORITMOS
Tipos básicos e abstratos de dados (lista, fila, pilha, árvore)</t>
        </is>
      </c>
    </row>
    <row r="7" ht="48" customHeight="1">
      <c r="A7" s="38" t="inlineStr">
        <is>
          <t>Bloco 1 (2h)</t>
        </is>
      </c>
      <c r="F7" s="14" t="inlineStr">
        <is>
          <t>ARQUITETURA / BANCO DE DADOS
Modelagem de dados: conceitual, lógica e física</t>
        </is>
      </c>
    </row>
    <row r="8" ht="48" customHeight="1">
      <c r="A8" s="38" t="inlineStr">
        <is>
          <t>Bloco 1 (2h)</t>
        </is>
      </c>
      <c r="G8" s="48" t="inlineStr">
        <is>
          <t>SEGURANÇA DA INFORMAÇÃO
Desenvolvimento seguro: SAST / DAST / IAST</t>
        </is>
      </c>
    </row>
    <row r="9" ht="48" customHeight="1">
      <c r="A9" s="38" t="inlineStr">
        <is>
          <t>Bloco 1 (2h)</t>
        </is>
      </c>
      <c r="H9" s="45" t="inlineStr">
        <is>
          <t>ARQUITETURA DE SOFTWARE
Arquitetura Orientada a Serviços (SOA) e interoperabilidade</t>
        </is>
      </c>
    </row>
    <row r="10" ht="48" customHeight="1">
      <c r="A10" s="38" t="inlineStr">
        <is>
          <t>Bloco 2 (2h, só sáb/dom)</t>
        </is>
      </c>
      <c r="B10" s="38" t="n"/>
      <c r="C10" s="38" t="n"/>
      <c r="D10" s="38" t="n"/>
      <c r="E10" s="38" t="n"/>
      <c r="F10" s="38" t="n"/>
      <c r="G10" s="8" t="inlineStr">
        <is>
          <t>ENGENHARIA DE SOFTWARE
Ciclo de vida e metodologias de desenvolvimento (cascata, ágil)</t>
        </is>
      </c>
      <c r="H10" s="46" t="inlineStr">
        <is>
          <t>LINGUAGENS DE PROGRAMAÇÃO
Simulado misto (questões de todas as matérias da semana)</t>
        </is>
      </c>
    </row>
    <row r="11">
      <c r="A11" s="42" t="inlineStr">
        <is>
          <t>TOTAL HORAS/DIA</t>
        </is>
      </c>
      <c r="B11" s="43" t="n">
        <v>2</v>
      </c>
      <c r="C11" s="43" t="n">
        <v>2</v>
      </c>
      <c r="D11" s="43" t="n">
        <v>2</v>
      </c>
      <c r="E11" s="43" t="n">
        <v>2</v>
      </c>
      <c r="F11" s="43" t="n">
        <v>2</v>
      </c>
      <c r="G11" s="43" t="n">
        <v>4</v>
      </c>
      <c r="H11" s="43" t="n">
        <v>4</v>
      </c>
    </row>
    <row r="13">
      <c r="A13" s="49" t="inlineStr">
        <is>
          <t>Nota: o rodízio de matérias avança dia a dia (peso maior = aparece mais vezes); a agenda completa dia a dia está na aba 'Diário de estudo'.</t>
        </is>
      </c>
    </row>
  </sheetData>
  <mergeCells count="2">
    <mergeCell ref="A13:H1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s>
  <sheetData>
    <row r="1" ht="24" customHeight="1">
      <c r="A1" s="1" t="inlineStr">
        <is>
          <t>DISTRIBUIÇÃO DE HORAS POR MATÉRIA — previsto x realizado (ligado ao Diário de estudo)</t>
        </is>
      </c>
    </row>
    <row r="2">
      <c r="A2" s="2" t="inlineStr">
        <is>
          <t>MATÉRIA</t>
        </is>
      </c>
      <c r="B2" s="2" t="inlineStr">
        <is>
          <t>PESO</t>
        </is>
      </c>
      <c r="C2" s="2" t="inlineStr">
        <is>
          <t>% DO PESO TOTAL</t>
        </is>
      </c>
      <c r="D2" s="2" t="inlineStr">
        <is>
          <t>HORAS/SEMANA (previsto)</t>
        </is>
      </c>
      <c r="E2" s="2" t="inlineStr">
        <is>
          <t>HORAS TOTAIS PREVISTAS (até 31/12)</t>
        </is>
      </c>
      <c r="F2" s="2" t="inlineStr">
        <is>
          <t>HORAS NO DIÁRIO (planejadas p/ o momento)</t>
        </is>
      </c>
    </row>
    <row r="3">
      <c r="A3" s="22" t="inlineStr">
        <is>
          <t>LÍNGUA PORTUGUESA</t>
        </is>
      </c>
      <c r="B3" s="35" t="n">
        <v>1</v>
      </c>
      <c r="C3" s="36">
        <f>B3/SUM($B$3:$B$13)</f>
        <v/>
      </c>
      <c r="D3" s="56">
        <f>C3*18</f>
        <v/>
      </c>
      <c r="E3" s="51">
        <f>D3*14.9</f>
        <v/>
      </c>
      <c r="F3" s="56">
        <f>SUMIFS('Diário de estudo'!G3:G530,'Diário de estudo'!D3:D530,$A3,'Diário de estudo'!E3:E530,"ESTUDO")/60</f>
        <v/>
      </c>
    </row>
    <row r="4">
      <c r="A4" s="22" t="inlineStr">
        <is>
          <t>DIREITO CONSTITUCIONAL</t>
        </is>
      </c>
      <c r="B4" s="35" t="n">
        <v>1</v>
      </c>
      <c r="C4" s="36">
        <f>B4/SUM($B$3:$B$13)</f>
        <v/>
      </c>
      <c r="D4" s="56">
        <f>C4*18</f>
        <v/>
      </c>
      <c r="E4" s="51">
        <f>D4*14.9</f>
        <v/>
      </c>
      <c r="F4" s="56">
        <f>SUMIFS('Diário de estudo'!G3:G530,'Diário de estudo'!D3:D530,$A4,'Diário de estudo'!E3:E530,"ESTUDO")/60</f>
        <v/>
      </c>
    </row>
    <row r="5">
      <c r="A5" s="22" t="inlineStr">
        <is>
          <t>DIREITO ADMINISTRATIVO</t>
        </is>
      </c>
      <c r="B5" s="35" t="n">
        <v>1</v>
      </c>
      <c r="C5" s="36">
        <f>B5/SUM($B$3:$B$13)</f>
        <v/>
      </c>
      <c r="D5" s="56">
        <f>C5*18</f>
        <v/>
      </c>
      <c r="E5" s="51">
        <f>D5*14.9</f>
        <v/>
      </c>
      <c r="F5" s="56">
        <f>SUMIFS('Diário de estudo'!G3:G530,'Diário de estudo'!D3:D530,$A5,'Diário de estudo'!E3:E530,"ESTUDO")/60</f>
        <v/>
      </c>
    </row>
    <row r="6">
      <c r="A6" s="22" t="inlineStr">
        <is>
          <t>LEGISLAÇÃO INSTITUCIONAL MP</t>
        </is>
      </c>
      <c r="B6" s="35" t="n">
        <v>1</v>
      </c>
      <c r="C6" s="36">
        <f>B6/SUM($B$3:$B$13)</f>
        <v/>
      </c>
      <c r="D6" s="56">
        <f>C6*18</f>
        <v/>
      </c>
      <c r="E6" s="51">
        <f>D6*14.9</f>
        <v/>
      </c>
      <c r="F6" s="56">
        <f>SUMIFS('Diário de estudo'!G3:G530,'Diário de estudo'!D3:D530,$A6,'Diário de estudo'!E3:E530,"ESTUDO")/60</f>
        <v/>
      </c>
    </row>
    <row r="7">
      <c r="A7" s="22" t="inlineStr">
        <is>
          <t>ENGENHARIA DE SOFTWARE</t>
        </is>
      </c>
      <c r="B7" s="35" t="n">
        <v>2</v>
      </c>
      <c r="C7" s="36">
        <f>B7/SUM($B$3:$B$13)</f>
        <v/>
      </c>
      <c r="D7" s="56">
        <f>C7*18</f>
        <v/>
      </c>
      <c r="E7" s="51">
        <f>D7*14.9</f>
        <v/>
      </c>
      <c r="F7" s="56">
        <f>SUMIFS('Diário de estudo'!G3:G530,'Diário de estudo'!D3:D530,$A7,'Diário de estudo'!E3:E530,"ESTUDO")/60</f>
        <v/>
      </c>
    </row>
    <row r="8">
      <c r="A8" s="22" t="inlineStr">
        <is>
          <t>ARQUITETURA DE SOFTWARE</t>
        </is>
      </c>
      <c r="B8" s="35" t="n">
        <v>2</v>
      </c>
      <c r="C8" s="36">
        <f>B8/SUM($B$3:$B$13)</f>
        <v/>
      </c>
      <c r="D8" s="56">
        <f>C8*18</f>
        <v/>
      </c>
      <c r="E8" s="51">
        <f>D8*14.9</f>
        <v/>
      </c>
      <c r="F8" s="56">
        <f>SUMIFS('Diário de estudo'!G3:G530,'Diário de estudo'!D3:D530,$A8,'Diário de estudo'!E3:E530,"ESTUDO")/60</f>
        <v/>
      </c>
    </row>
    <row r="9">
      <c r="A9" s="22" t="inlineStr">
        <is>
          <t>LINGUAGENS DE PROGRAMAÇÃO</t>
        </is>
      </c>
      <c r="B9" s="35" t="n">
        <v>2</v>
      </c>
      <c r="C9" s="36">
        <f>B9/SUM($B$3:$B$13)</f>
        <v/>
      </c>
      <c r="D9" s="56">
        <f>C9*18</f>
        <v/>
      </c>
      <c r="E9" s="51">
        <f>D9*14.9</f>
        <v/>
      </c>
      <c r="F9" s="56">
        <f>SUMIFS('Diário de estudo'!G3:G530,'Diário de estudo'!D3:D530,$A9,'Diário de estudo'!E3:E530,"ESTUDO")/60</f>
        <v/>
      </c>
    </row>
    <row r="10">
      <c r="A10" s="22" t="inlineStr">
        <is>
          <t>QUALIDADE DE SOFTWARE</t>
        </is>
      </c>
      <c r="B10" s="35" t="n">
        <v>1</v>
      </c>
      <c r="C10" s="36">
        <f>B10/SUM($B$3:$B$13)</f>
        <v/>
      </c>
      <c r="D10" s="56">
        <f>C10*18</f>
        <v/>
      </c>
      <c r="E10" s="51">
        <f>D10*14.9</f>
        <v/>
      </c>
      <c r="F10" s="56">
        <f>SUMIFS('Diário de estudo'!G3:G530,'Diário de estudo'!D3:D530,$A10,'Diário de estudo'!E3:E530,"ESTUDO")/60</f>
        <v/>
      </c>
    </row>
    <row r="11">
      <c r="A11" s="22" t="inlineStr">
        <is>
          <t>ESTRUTURA DE DADOS E ALGORITMOS</t>
        </is>
      </c>
      <c r="B11" s="35" t="n">
        <v>2</v>
      </c>
      <c r="C11" s="36">
        <f>B11/SUM($B$3:$B$13)</f>
        <v/>
      </c>
      <c r="D11" s="56">
        <f>C11*18</f>
        <v/>
      </c>
      <c r="E11" s="51">
        <f>D11*14.9</f>
        <v/>
      </c>
      <c r="F11" s="56">
        <f>SUMIFS('Diário de estudo'!G3:G530,'Diário de estudo'!D3:D530,$A11,'Diário de estudo'!E3:E530,"ESTUDO")/60</f>
        <v/>
      </c>
    </row>
    <row r="12">
      <c r="A12" s="22" t="inlineStr">
        <is>
          <t>ARQUITETURA / BANCO DE DADOS</t>
        </is>
      </c>
      <c r="B12" s="35" t="n">
        <v>2</v>
      </c>
      <c r="C12" s="36">
        <f>B12/SUM($B$3:$B$13)</f>
        <v/>
      </c>
      <c r="D12" s="56">
        <f>C12*18</f>
        <v/>
      </c>
      <c r="E12" s="51">
        <f>D12*14.9</f>
        <v/>
      </c>
      <c r="F12" s="56">
        <f>SUMIFS('Diário de estudo'!G3:G530,'Diário de estudo'!D3:D530,$A12,'Diário de estudo'!E3:E530,"ESTUDO")/60</f>
        <v/>
      </c>
    </row>
    <row r="13">
      <c r="A13" s="22" t="inlineStr">
        <is>
          <t>SEGURANÇA DA INFORMAÇÃO</t>
        </is>
      </c>
      <c r="B13" s="35" t="n">
        <v>1</v>
      </c>
      <c r="C13" s="36">
        <f>B13/SUM($B$3:$B$13)</f>
        <v/>
      </c>
      <c r="D13" s="56">
        <f>C13*18</f>
        <v/>
      </c>
      <c r="E13" s="51">
        <f>D13*14.9</f>
        <v/>
      </c>
      <c r="F13" s="56">
        <f>SUMIFS('Diário de estudo'!G3:G530,'Diário de estudo'!D3:D530,$A13,'Diário de estudo'!E3:E530,"ESTUDO")/60</f>
        <v/>
      </c>
    </row>
    <row r="14">
      <c r="A14" s="42" t="inlineStr">
        <is>
          <t>TOTAL</t>
        </is>
      </c>
      <c r="B14" s="43">
        <f>SUM(B3:B13)</f>
        <v/>
      </c>
      <c r="D14" s="43">
        <f>SUM(D3:D13)</f>
        <v/>
      </c>
      <c r="E14" s="43">
        <f>SUM(E3:E13)</f>
        <v/>
      </c>
      <c r="F14" s="43">
        <f>SUM(F3:F13)</f>
        <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2"/>
  <sheetViews>
    <sheetView showGridLines="0" workbookViewId="0">
      <pane ySplit="2" topLeftCell="A3" activePane="bottomLeft" state="frozen"/>
      <selection pane="bottomLeft" activeCell="A1" sqref="A1"/>
    </sheetView>
  </sheetViews>
  <sheetFormatPr baseColWidth="8" defaultRowHeight="15"/>
  <cols>
    <col width="30" customWidth="1" min="1" max="1"/>
    <col width="24" customWidth="1" min="2" max="2"/>
    <col width="16" customWidth="1" min="3" max="3"/>
    <col width="16" customWidth="1" min="4" max="4"/>
    <col width="20" customWidth="1" min="5" max="5"/>
    <col width="45" customWidth="1" min="6" max="6"/>
  </cols>
  <sheetData>
    <row r="1" ht="24" customHeight="1">
      <c r="A1" s="1" t="inlineStr">
        <is>
          <t>CADERNO DE ERROS</t>
        </is>
      </c>
    </row>
    <row r="2">
      <c r="A2" s="2" t="inlineStr">
        <is>
          <t>MATÉRIA / ASSUNTO</t>
        </is>
      </c>
      <c r="B2" s="2" t="inlineStr">
        <is>
          <t>BANCA / ANO / ÓRGÃO</t>
        </is>
      </c>
      <c r="C2" s="2" t="inlineStr">
        <is>
          <t>DATA ESTUDADA</t>
        </is>
      </c>
      <c r="D2" s="2" t="inlineStr">
        <is>
          <t>DATA PARA REPETIR</t>
        </is>
      </c>
      <c r="E2" s="2" t="inlineStr">
        <is>
          <t>MOTIVO DO ERRO</t>
        </is>
      </c>
      <c r="F2" s="2" t="inlineStr">
        <is>
          <t>FUNDAMENTO DA RESPOSTA CERTA</t>
        </is>
      </c>
    </row>
    <row r="3">
      <c r="A3" s="38" t="n"/>
      <c r="B3" s="38" t="n"/>
      <c r="C3" s="54" t="n"/>
      <c r="D3" s="54" t="n"/>
      <c r="E3" s="38" t="n"/>
      <c r="F3" s="38" t="n"/>
    </row>
    <row r="4">
      <c r="A4" s="38" t="n"/>
      <c r="B4" s="38" t="n"/>
      <c r="C4" s="54" t="n"/>
      <c r="D4" s="54" t="n"/>
      <c r="E4" s="38" t="n"/>
      <c r="F4" s="38" t="n"/>
    </row>
    <row r="5">
      <c r="A5" s="38" t="n"/>
      <c r="B5" s="38" t="n"/>
      <c r="C5" s="54" t="n"/>
      <c r="D5" s="54" t="n"/>
      <c r="E5" s="38" t="n"/>
      <c r="F5" s="38" t="n"/>
    </row>
    <row r="6">
      <c r="A6" s="38" t="n"/>
      <c r="B6" s="38" t="n"/>
      <c r="C6" s="54" t="n"/>
      <c r="D6" s="54" t="n"/>
      <c r="E6" s="38" t="n"/>
      <c r="F6" s="38" t="n"/>
    </row>
    <row r="7">
      <c r="A7" s="38" t="n"/>
      <c r="B7" s="38" t="n"/>
      <c r="C7" s="54" t="n"/>
      <c r="D7" s="54" t="n"/>
      <c r="E7" s="38" t="n"/>
      <c r="F7" s="38" t="n"/>
    </row>
    <row r="8">
      <c r="A8" s="38" t="n"/>
      <c r="B8" s="38" t="n"/>
      <c r="C8" s="54" t="n"/>
      <c r="D8" s="54" t="n"/>
      <c r="E8" s="38" t="n"/>
      <c r="F8" s="38" t="n"/>
    </row>
    <row r="9">
      <c r="A9" s="38" t="n"/>
      <c r="B9" s="38" t="n"/>
      <c r="C9" s="54" t="n"/>
      <c r="D9" s="54" t="n"/>
      <c r="E9" s="38" t="n"/>
      <c r="F9" s="38" t="n"/>
    </row>
    <row r="10">
      <c r="A10" s="38" t="n"/>
      <c r="B10" s="38" t="n"/>
      <c r="C10" s="54" t="n"/>
      <c r="D10" s="54" t="n"/>
      <c r="E10" s="38" t="n"/>
      <c r="F10" s="38" t="n"/>
    </row>
    <row r="11">
      <c r="A11" s="38" t="n"/>
      <c r="B11" s="38" t="n"/>
      <c r="C11" s="54" t="n"/>
      <c r="D11" s="54" t="n"/>
      <c r="E11" s="38" t="n"/>
      <c r="F11" s="38" t="n"/>
    </row>
    <row r="12">
      <c r="A12" s="38" t="n"/>
      <c r="B12" s="38" t="n"/>
      <c r="C12" s="54" t="n"/>
      <c r="D12" s="54" t="n"/>
      <c r="E12" s="38" t="n"/>
      <c r="F12" s="38" t="n"/>
    </row>
    <row r="13">
      <c r="A13" s="38" t="n"/>
      <c r="B13" s="38" t="n"/>
      <c r="C13" s="54" t="n"/>
      <c r="D13" s="54" t="n"/>
      <c r="E13" s="38" t="n"/>
      <c r="F13" s="38" t="n"/>
    </row>
    <row r="14">
      <c r="A14" s="38" t="n"/>
      <c r="B14" s="38" t="n"/>
      <c r="C14" s="54" t="n"/>
      <c r="D14" s="54" t="n"/>
      <c r="E14" s="38" t="n"/>
      <c r="F14" s="38" t="n"/>
    </row>
    <row r="15">
      <c r="A15" s="38" t="n"/>
      <c r="B15" s="38" t="n"/>
      <c r="C15" s="54" t="n"/>
      <c r="D15" s="54" t="n"/>
      <c r="E15" s="38" t="n"/>
      <c r="F15" s="38" t="n"/>
    </row>
    <row r="16">
      <c r="A16" s="38" t="n"/>
      <c r="B16" s="38" t="n"/>
      <c r="C16" s="54" t="n"/>
      <c r="D16" s="54" t="n"/>
      <c r="E16" s="38" t="n"/>
      <c r="F16" s="38" t="n"/>
    </row>
    <row r="17">
      <c r="A17" s="38" t="n"/>
      <c r="B17" s="38" t="n"/>
      <c r="C17" s="54" t="n"/>
      <c r="D17" s="54" t="n"/>
      <c r="E17" s="38" t="n"/>
      <c r="F17" s="38" t="n"/>
    </row>
    <row r="18">
      <c r="A18" s="38" t="n"/>
      <c r="B18" s="38" t="n"/>
      <c r="C18" s="54" t="n"/>
      <c r="D18" s="54" t="n"/>
      <c r="E18" s="38" t="n"/>
      <c r="F18" s="38" t="n"/>
    </row>
    <row r="19">
      <c r="A19" s="38" t="n"/>
      <c r="B19" s="38" t="n"/>
      <c r="C19" s="54" t="n"/>
      <c r="D19" s="54" t="n"/>
      <c r="E19" s="38" t="n"/>
      <c r="F19" s="38" t="n"/>
    </row>
    <row r="20">
      <c r="A20" s="38" t="n"/>
      <c r="B20" s="38" t="n"/>
      <c r="C20" s="54" t="n"/>
      <c r="D20" s="54" t="n"/>
      <c r="E20" s="38" t="n"/>
      <c r="F20" s="38" t="n"/>
    </row>
    <row r="21">
      <c r="A21" s="38" t="n"/>
      <c r="B21" s="38" t="n"/>
      <c r="C21" s="54" t="n"/>
      <c r="D21" s="54" t="n"/>
      <c r="E21" s="38" t="n"/>
      <c r="F21" s="38" t="n"/>
    </row>
    <row r="22">
      <c r="A22" s="38" t="n"/>
      <c r="B22" s="38" t="n"/>
      <c r="C22" s="54" t="n"/>
      <c r="D22" s="54" t="n"/>
      <c r="E22" s="38" t="n"/>
      <c r="F22" s="38" t="n"/>
    </row>
    <row r="23">
      <c r="A23" s="38" t="n"/>
      <c r="B23" s="38" t="n"/>
      <c r="C23" s="54" t="n"/>
      <c r="D23" s="54" t="n"/>
      <c r="E23" s="38" t="n"/>
      <c r="F23" s="38" t="n"/>
    </row>
    <row r="24">
      <c r="A24" s="38" t="n"/>
      <c r="B24" s="38" t="n"/>
      <c r="C24" s="54" t="n"/>
      <c r="D24" s="54" t="n"/>
      <c r="E24" s="38" t="n"/>
      <c r="F24" s="38" t="n"/>
    </row>
    <row r="25">
      <c r="A25" s="38" t="n"/>
      <c r="B25" s="38" t="n"/>
      <c r="C25" s="54" t="n"/>
      <c r="D25" s="54" t="n"/>
      <c r="E25" s="38" t="n"/>
      <c r="F25" s="38" t="n"/>
    </row>
    <row r="26">
      <c r="A26" s="38" t="n"/>
      <c r="B26" s="38" t="n"/>
      <c r="C26" s="54" t="n"/>
      <c r="D26" s="54" t="n"/>
      <c r="E26" s="38" t="n"/>
      <c r="F26" s="38" t="n"/>
    </row>
    <row r="27">
      <c r="A27" s="38" t="n"/>
      <c r="B27" s="38" t="n"/>
      <c r="C27" s="54" t="n"/>
      <c r="D27" s="54" t="n"/>
      <c r="E27" s="38" t="n"/>
      <c r="F27" s="38" t="n"/>
    </row>
    <row r="28">
      <c r="A28" s="38" t="n"/>
      <c r="B28" s="38" t="n"/>
      <c r="C28" s="54" t="n"/>
      <c r="D28" s="54" t="n"/>
      <c r="E28" s="38" t="n"/>
      <c r="F28" s="38" t="n"/>
    </row>
    <row r="29">
      <c r="A29" s="38" t="n"/>
      <c r="B29" s="38" t="n"/>
      <c r="C29" s="54" t="n"/>
      <c r="D29" s="54" t="n"/>
      <c r="E29" s="38" t="n"/>
      <c r="F29" s="38" t="n"/>
    </row>
    <row r="30">
      <c r="A30" s="38" t="n"/>
      <c r="B30" s="38" t="n"/>
      <c r="C30" s="54" t="n"/>
      <c r="D30" s="54" t="n"/>
      <c r="E30" s="38" t="n"/>
      <c r="F30" s="38" t="n"/>
    </row>
    <row r="31">
      <c r="A31" s="38" t="n"/>
      <c r="B31" s="38" t="n"/>
      <c r="C31" s="54" t="n"/>
      <c r="D31" s="54" t="n"/>
      <c r="E31" s="38" t="n"/>
      <c r="F31" s="38" t="n"/>
    </row>
    <row r="32">
      <c r="A32" s="38" t="n"/>
      <c r="B32" s="38" t="n"/>
      <c r="C32" s="54" t="n"/>
      <c r="D32" s="54" t="n"/>
      <c r="E32" s="38" t="n"/>
      <c r="F32" s="38" t="n"/>
    </row>
    <row r="33">
      <c r="A33" s="38" t="n"/>
      <c r="B33" s="38" t="n"/>
      <c r="C33" s="54" t="n"/>
      <c r="D33" s="54" t="n"/>
      <c r="E33" s="38" t="n"/>
      <c r="F33" s="38" t="n"/>
    </row>
    <row r="34">
      <c r="A34" s="38" t="n"/>
      <c r="B34" s="38" t="n"/>
      <c r="C34" s="54" t="n"/>
      <c r="D34" s="54" t="n"/>
      <c r="E34" s="38" t="n"/>
      <c r="F34" s="38" t="n"/>
    </row>
    <row r="35">
      <c r="A35" s="38" t="n"/>
      <c r="B35" s="38" t="n"/>
      <c r="C35" s="54" t="n"/>
      <c r="D35" s="54" t="n"/>
      <c r="E35" s="38" t="n"/>
      <c r="F35" s="38" t="n"/>
    </row>
    <row r="36">
      <c r="A36" s="38" t="n"/>
      <c r="B36" s="38" t="n"/>
      <c r="C36" s="54" t="n"/>
      <c r="D36" s="54" t="n"/>
      <c r="E36" s="38" t="n"/>
      <c r="F36" s="38" t="n"/>
    </row>
    <row r="37">
      <c r="A37" s="38" t="n"/>
      <c r="B37" s="38" t="n"/>
      <c r="C37" s="54" t="n"/>
      <c r="D37" s="54" t="n"/>
      <c r="E37" s="38" t="n"/>
      <c r="F37" s="38" t="n"/>
    </row>
    <row r="38">
      <c r="A38" s="38" t="n"/>
      <c r="B38" s="38" t="n"/>
      <c r="C38" s="54" t="n"/>
      <c r="D38" s="54" t="n"/>
      <c r="E38" s="38" t="n"/>
      <c r="F38" s="38" t="n"/>
    </row>
    <row r="39">
      <c r="A39" s="38" t="n"/>
      <c r="B39" s="38" t="n"/>
      <c r="C39" s="54" t="n"/>
      <c r="D39" s="54" t="n"/>
      <c r="E39" s="38" t="n"/>
      <c r="F39" s="38" t="n"/>
    </row>
    <row r="40">
      <c r="A40" s="38" t="n"/>
      <c r="B40" s="38" t="n"/>
      <c r="C40" s="54" t="n"/>
      <c r="D40" s="54" t="n"/>
      <c r="E40" s="38" t="n"/>
      <c r="F40" s="38" t="n"/>
    </row>
    <row r="41">
      <c r="A41" s="38" t="n"/>
      <c r="B41" s="38" t="n"/>
      <c r="C41" s="54" t="n"/>
      <c r="D41" s="54" t="n"/>
      <c r="E41" s="38" t="n"/>
      <c r="F41" s="38" t="n"/>
    </row>
    <row r="42">
      <c r="A42" s="38" t="n"/>
      <c r="B42" s="38" t="n"/>
      <c r="C42" s="54" t="n"/>
      <c r="D42" s="54" t="n"/>
      <c r="E42" s="38" t="n"/>
      <c r="F42" s="38" t="n"/>
    </row>
    <row r="43">
      <c r="A43" s="38" t="n"/>
      <c r="B43" s="38" t="n"/>
      <c r="C43" s="54" t="n"/>
      <c r="D43" s="54" t="n"/>
      <c r="E43" s="38" t="n"/>
      <c r="F43" s="38" t="n"/>
    </row>
    <row r="44">
      <c r="A44" s="38" t="n"/>
      <c r="B44" s="38" t="n"/>
      <c r="C44" s="54" t="n"/>
      <c r="D44" s="54" t="n"/>
      <c r="E44" s="38" t="n"/>
      <c r="F44" s="38" t="n"/>
    </row>
    <row r="45">
      <c r="A45" s="38" t="n"/>
      <c r="B45" s="38" t="n"/>
      <c r="C45" s="54" t="n"/>
      <c r="D45" s="54" t="n"/>
      <c r="E45" s="38" t="n"/>
      <c r="F45" s="38" t="n"/>
    </row>
    <row r="46">
      <c r="A46" s="38" t="n"/>
      <c r="B46" s="38" t="n"/>
      <c r="C46" s="54" t="n"/>
      <c r="D46" s="54" t="n"/>
      <c r="E46" s="38" t="n"/>
      <c r="F46" s="38" t="n"/>
    </row>
    <row r="47">
      <c r="A47" s="38" t="n"/>
      <c r="B47" s="38" t="n"/>
      <c r="C47" s="54" t="n"/>
      <c r="D47" s="54" t="n"/>
      <c r="E47" s="38" t="n"/>
      <c r="F47" s="38" t="n"/>
    </row>
    <row r="48">
      <c r="A48" s="38" t="n"/>
      <c r="B48" s="38" t="n"/>
      <c r="C48" s="54" t="n"/>
      <c r="D48" s="54" t="n"/>
      <c r="E48" s="38" t="n"/>
      <c r="F48" s="38" t="n"/>
    </row>
    <row r="49">
      <c r="A49" s="38" t="n"/>
      <c r="B49" s="38" t="n"/>
      <c r="C49" s="54" t="n"/>
      <c r="D49" s="54" t="n"/>
      <c r="E49" s="38" t="n"/>
      <c r="F49" s="38" t="n"/>
    </row>
    <row r="50">
      <c r="A50" s="38" t="n"/>
      <c r="B50" s="38" t="n"/>
      <c r="C50" s="54" t="n"/>
      <c r="D50" s="54" t="n"/>
      <c r="E50" s="38" t="n"/>
      <c r="F50" s="38" t="n"/>
    </row>
    <row r="51">
      <c r="A51" s="38" t="n"/>
      <c r="B51" s="38" t="n"/>
      <c r="C51" s="54" t="n"/>
      <c r="D51" s="54" t="n"/>
      <c r="E51" s="38" t="n"/>
      <c r="F51" s="38" t="n"/>
    </row>
    <row r="52">
      <c r="A52" s="38" t="n"/>
      <c r="B52" s="38" t="n"/>
      <c r="C52" s="54" t="n"/>
      <c r="D52" s="54" t="n"/>
      <c r="E52" s="38" t="n"/>
      <c r="F52" s="38" t="n"/>
    </row>
    <row r="53">
      <c r="A53" s="38" t="n"/>
      <c r="B53" s="38" t="n"/>
      <c r="C53" s="54" t="n"/>
      <c r="D53" s="54" t="n"/>
      <c r="E53" s="38" t="n"/>
      <c r="F53" s="38" t="n"/>
    </row>
    <row r="54">
      <c r="A54" s="38" t="n"/>
      <c r="B54" s="38" t="n"/>
      <c r="C54" s="54" t="n"/>
      <c r="D54" s="54" t="n"/>
      <c r="E54" s="38" t="n"/>
      <c r="F54" s="38" t="n"/>
    </row>
    <row r="55">
      <c r="A55" s="38" t="n"/>
      <c r="B55" s="38" t="n"/>
      <c r="C55" s="54" t="n"/>
      <c r="D55" s="54" t="n"/>
      <c r="E55" s="38" t="n"/>
      <c r="F55" s="38" t="n"/>
    </row>
    <row r="56">
      <c r="A56" s="38" t="n"/>
      <c r="B56" s="38" t="n"/>
      <c r="C56" s="54" t="n"/>
      <c r="D56" s="54" t="n"/>
      <c r="E56" s="38" t="n"/>
      <c r="F56" s="38" t="n"/>
    </row>
    <row r="57">
      <c r="A57" s="38" t="n"/>
      <c r="B57" s="38" t="n"/>
      <c r="C57" s="54" t="n"/>
      <c r="D57" s="54" t="n"/>
      <c r="E57" s="38" t="n"/>
      <c r="F57" s="38" t="n"/>
    </row>
    <row r="58">
      <c r="A58" s="38" t="n"/>
      <c r="B58" s="38" t="n"/>
      <c r="C58" s="54" t="n"/>
      <c r="D58" s="54" t="n"/>
      <c r="E58" s="38" t="n"/>
      <c r="F58" s="38" t="n"/>
    </row>
    <row r="59">
      <c r="A59" s="38" t="n"/>
      <c r="B59" s="38" t="n"/>
      <c r="C59" s="54" t="n"/>
      <c r="D59" s="54" t="n"/>
      <c r="E59" s="38" t="n"/>
      <c r="F59" s="38" t="n"/>
    </row>
    <row r="60">
      <c r="A60" s="38" t="n"/>
      <c r="B60" s="38" t="n"/>
      <c r="C60" s="54" t="n"/>
      <c r="D60" s="54" t="n"/>
      <c r="E60" s="38" t="n"/>
      <c r="F60" s="38" t="n"/>
    </row>
    <row r="61">
      <c r="A61" s="38" t="n"/>
      <c r="B61" s="38" t="n"/>
      <c r="C61" s="54" t="n"/>
      <c r="D61" s="54" t="n"/>
      <c r="E61" s="38" t="n"/>
      <c r="F61" s="38" t="n"/>
    </row>
    <row r="62">
      <c r="A62" s="38" t="n"/>
      <c r="B62" s="38" t="n"/>
      <c r="C62" s="54" t="n"/>
      <c r="D62" s="54" t="n"/>
      <c r="E62" s="38" t="n"/>
      <c r="F62" s="38" t="n"/>
    </row>
  </sheetData>
  <mergeCells count="1">
    <mergeCell ref="A1:F1"/>
  </mergeCells>
  <dataValidations count="2">
    <dataValidation sqref="E3 E4 E5 E6 E7 E8 E9 E10 E11 E12 E13 E14 E15 E16 E17 E18 E19 E20 E21 E22 E23 E24 E25 E26 E27 E28 E29 E30 E31 E32 E33 E34 E35 E36 E37 E38 E39 E40 E41 E42 E43 E44 E45 E46 E47 E48 E49 E50 E51 E52 E53 E54 E55 E56 E57 E58 E59 E60 E61 E62" showDropDown="0" showInputMessage="0" showErrorMessage="0" allowBlank="1" type="list">
      <formula1>"Desatenção,Desconhecimento,Esquecimento"</formula1>
    </dataValidation>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1" type="list">
      <formula1>=Legenda!$C$2:$C$12</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32" customWidth="1" min="3" max="3"/>
  </cols>
  <sheetData>
    <row r="1">
      <c r="A1" s="18" t="inlineStr">
        <is>
          <t>STATUS</t>
        </is>
      </c>
      <c r="C1" s="18" t="inlineStr">
        <is>
          <t>MATÉRIAS</t>
        </is>
      </c>
    </row>
    <row r="2">
      <c r="A2" t="inlineStr">
        <is>
          <t>SIM</t>
        </is>
      </c>
      <c r="C2" t="inlineStr">
        <is>
          <t>LÍNGUA PORTUGUESA</t>
        </is>
      </c>
    </row>
    <row r="3">
      <c r="A3" t="inlineStr">
        <is>
          <t>NÃO</t>
        </is>
      </c>
      <c r="C3" t="inlineStr">
        <is>
          <t>DIREITO CONSTITUCIONAL</t>
        </is>
      </c>
    </row>
    <row r="4">
      <c r="A4" t="inlineStr">
        <is>
          <t>ATENÇÃO</t>
        </is>
      </c>
      <c r="C4" t="inlineStr">
        <is>
          <t>DIREITO ADMINISTRATIVO</t>
        </is>
      </c>
    </row>
    <row r="5">
      <c r="A5" t="inlineStr">
        <is>
          <t>PRECISO ESTUDAR</t>
        </is>
      </c>
      <c r="C5" t="inlineStr">
        <is>
          <t>LEGISLAÇÃO INSTITUCIONAL MP</t>
        </is>
      </c>
    </row>
    <row r="6">
      <c r="A6" t="inlineStr">
        <is>
          <t>DOMINO</t>
        </is>
      </c>
      <c r="C6" t="inlineStr">
        <is>
          <t>ENGENHARIA DE SOFTWARE</t>
        </is>
      </c>
    </row>
    <row r="7">
      <c r="A7" t="inlineStr">
        <is>
          <t>CAIU NA ÚLTIMA PROVA</t>
        </is>
      </c>
      <c r="C7" t="inlineStr">
        <is>
          <t>ARQUITETURA DE SOFTWARE</t>
        </is>
      </c>
    </row>
    <row r="8">
      <c r="C8" t="inlineStr">
        <is>
          <t>LINGUAGENS DE PROGRAMAÇÃO</t>
        </is>
      </c>
    </row>
    <row r="9">
      <c r="C9" t="inlineStr">
        <is>
          <t>QUALIDADE DE SOFTWARE</t>
        </is>
      </c>
    </row>
    <row r="10">
      <c r="C10" t="inlineStr">
        <is>
          <t>ESTRUTURA DE DADOS E ALGORITMOS</t>
        </is>
      </c>
    </row>
    <row r="11">
      <c r="C11" t="inlineStr">
        <is>
          <t>ARQUITETURA / BANCO DE DADOS</t>
        </is>
      </c>
    </row>
    <row r="12">
      <c r="C12" t="inlineStr">
        <is>
          <t>SEGURANÇA DA INFORMAÇÃO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2026-09-18T18:09:59Z</dcterms:created>
  <dcterms:modified xmlns:dcterms="http://purl.org/dc/terms/" xmlns:xsi="http://www.w3.org/2001/XMLSchema-instance" xsi:type="dcterms:W3CDTF">2026-09-18T18:58:53Z</dcterms:modified>
</cp:coreProperties>
</file>